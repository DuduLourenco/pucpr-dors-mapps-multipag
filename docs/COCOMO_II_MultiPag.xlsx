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manho" sheetId="1" state="visible" r:id="rId3"/>
    <sheet name="Estimativ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<sst xmlns="http://schemas.openxmlformats.org/spreadsheetml/2006/main" count="84" uniqueCount="71">
  <si>
    <t xml:space="preserve">Tamanho do protótipo MultiPag (SLOC)</t>
  </si>
  <si>
    <t xml:space="preserve">Contagem feita no repositório do protótipo. Linhas em branco e comentários não entram.</t>
  </si>
  <si>
    <t xml:space="preserve">Parte</t>
  </si>
  <si>
    <t xml:space="preserve">Onde fica</t>
  </si>
  <si>
    <t xml:space="preserve">Arquivos</t>
  </si>
  <si>
    <t xml:space="preserve">Linhas físicas</t>
  </si>
  <si>
    <t xml:space="preserve">Linhas de código (SLOC)</t>
  </si>
  <si>
    <t xml:space="preserve">Telas e páginas</t>
  </si>
  <si>
    <t xml:space="preserve">app</t>
  </si>
  <si>
    <t xml:space="preserve">Regras, serviços e API</t>
  </si>
  <si>
    <t xml:space="preserve">src</t>
  </si>
  <si>
    <t xml:space="preserve">Banco de dados</t>
  </si>
  <si>
    <t xml:space="preserve">db</t>
  </si>
  <si>
    <t xml:space="preserve">Pacote validador de documentos</t>
  </si>
  <si>
    <t xml:space="preserve">pacotes (src)</t>
  </si>
  <si>
    <t xml:space="preserve">Configuração</t>
  </si>
  <si>
    <t xml:space="preserve">raiz</t>
  </si>
  <si>
    <t xml:space="preserve">Total</t>
  </si>
  <si>
    <t xml:space="preserve">Tamanho em KLOC (SLOC / 1000)</t>
  </si>
  <si>
    <t xml:space="preserve">Testes (fora da conta)</t>
  </si>
  <si>
    <t xml:space="preserve">test e pacotes</t>
  </si>
  <si>
    <t xml:space="preserve">Estimativa de esforço, tempo e equipe: COCOMO II (modelo básico)</t>
  </si>
  <si>
    <t xml:space="preserve">Tipo do projeto</t>
  </si>
  <si>
    <t xml:space="preserve">Orgânico</t>
  </si>
  <si>
    <t xml:space="preserve">Identificação do tipo do projeto</t>
  </si>
  <si>
    <t xml:space="preserve">Semi-separado</t>
  </si>
  <si>
    <t xml:space="preserve">Embutido</t>
  </si>
  <si>
    <t xml:space="preserve">MultiPag</t>
  </si>
  <si>
    <t xml:space="preserve">Tamanho</t>
  </si>
  <si>
    <t xml:space="preserve">2-50 KLOC</t>
  </si>
  <si>
    <t xml:space="preserve">50-300 KLOC</t>
  </si>
  <si>
    <t xml:space="preserve">Acima de 300 KLOC</t>
  </si>
  <si>
    <t xml:space="preserve">Tamanho da equipe</t>
  </si>
  <si>
    <t xml:space="preserve">Pequena</t>
  </si>
  <si>
    <t xml:space="preserve">Média</t>
  </si>
  <si>
    <t xml:space="preserve">Grande</t>
  </si>
  <si>
    <t xml:space="preserve">Pequena (3 pessoas)</t>
  </si>
  <si>
    <t xml:space="preserve">Experiência do desenvolvedor</t>
  </si>
  <si>
    <t xml:space="preserve">Pouca experiência</t>
  </si>
  <si>
    <t xml:space="preserve">Média experiência</t>
  </si>
  <si>
    <t xml:space="preserve">Elevada experiência</t>
  </si>
  <si>
    <t xml:space="preserve">Ambiente</t>
  </si>
  <si>
    <t xml:space="preserve">Familiar</t>
  </si>
  <si>
    <t xml:space="preserve">Pouco familiar</t>
  </si>
  <si>
    <t xml:space="preserve">Mudanças constantes</t>
  </si>
  <si>
    <t xml:space="preserve">Inovação</t>
  </si>
  <si>
    <t xml:space="preserve">Pouca</t>
  </si>
  <si>
    <t xml:space="preserve">Muita</t>
  </si>
  <si>
    <t xml:space="preserve">Deadline</t>
  </si>
  <si>
    <t xml:space="preserve">Baixo</t>
  </si>
  <si>
    <t xml:space="preserve">Médio</t>
  </si>
  <si>
    <t xml:space="preserve">Elevado</t>
  </si>
  <si>
    <t xml:space="preserve">Modelo básico</t>
  </si>
  <si>
    <t xml:space="preserve">a</t>
  </si>
  <si>
    <t xml:space="preserve">b</t>
  </si>
  <si>
    <t xml:space="preserve">c</t>
  </si>
  <si>
    <t xml:space="preserve">d</t>
  </si>
  <si>
    <t xml:space="preserve">Resultado</t>
  </si>
  <si>
    <t xml:space="preserve">Fórmula</t>
  </si>
  <si>
    <t xml:space="preserve">Valor</t>
  </si>
  <si>
    <t xml:space="preserve">Unidade</t>
  </si>
  <si>
    <t xml:space="preserve">KLOC</t>
  </si>
  <si>
    <t xml:space="preserve">Esforço</t>
  </si>
  <si>
    <t xml:space="preserve">a × KLOC^b</t>
  </si>
  <si>
    <t xml:space="preserve">pessoa-mês</t>
  </si>
  <si>
    <t xml:space="preserve">Tempo de desenvolvimento</t>
  </si>
  <si>
    <t xml:space="preserve">c × Esforço^d</t>
  </si>
  <si>
    <t xml:space="preserve">meses</t>
  </si>
  <si>
    <t xml:space="preserve">Esforço / Tempo</t>
  </si>
  <si>
    <t xml:space="preserve">pessoas</t>
  </si>
  <si>
    <t xml:space="preserve">Equipe arredondada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</si>
</sst>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00"/>
    <numFmt numFmtId="167" formatCode="0.00"/>
    <numFmt numFmtId="168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CC"/>
      </patternFill>
    </fill>
    <fill>
      <patternFill patternType="solid">
        <fgColor rgb="FFFFFFCC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4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4" t="s">
        <v>8</v>
      </c>
      <c r="C5" s="5" t="n">
        <v>23</v>
      </c>
      <c r="D5" s="5" t="n">
        <v>2528</v>
      </c>
      <c r="E5" s="5" t="n">
        <v>2215</v>
      </c>
    </row>
    <row r="6" customFormat="false" ht="15" hidden="false" customHeight="false" outlineLevel="0" collapsed="false">
      <c r="A6" s="4" t="s">
        <v>9</v>
      </c>
      <c r="B6" s="4" t="s">
        <v>10</v>
      </c>
      <c r="C6" s="5" t="n">
        <v>50</v>
      </c>
      <c r="D6" s="5" t="n">
        <v>3053</v>
      </c>
      <c r="E6" s="5" t="n">
        <v>2364</v>
      </c>
    </row>
    <row r="7" customFormat="false" ht="15" hidden="false" customHeight="false" outlineLevel="0" collapsed="false">
      <c r="A7" s="4" t="s">
        <v>11</v>
      </c>
      <c r="B7" s="4" t="s">
        <v>12</v>
      </c>
      <c r="C7" s="5" t="n">
        <v>2</v>
      </c>
      <c r="D7" s="5" t="n">
        <v>188</v>
      </c>
      <c r="E7" s="5" t="n">
        <v>119</v>
      </c>
    </row>
    <row r="8" customFormat="false" ht="15" hidden="false" customHeight="false" outlineLevel="0" collapsed="false">
      <c r="A8" s="4" t="s">
        <v>13</v>
      </c>
      <c r="B8" s="4" t="s">
        <v>14</v>
      </c>
      <c r="C8" s="5" t="n">
        <v>3</v>
      </c>
      <c r="D8" s="5" t="n">
        <v>74</v>
      </c>
      <c r="E8" s="5" t="n">
        <v>51</v>
      </c>
    </row>
    <row r="9" customFormat="false" ht="15" hidden="false" customHeight="false" outlineLevel="0" collapsed="false">
      <c r="A9" s="4" t="s">
        <v>15</v>
      </c>
      <c r="B9" s="4" t="s">
        <v>16</v>
      </c>
      <c r="C9" s="5" t="n">
        <v>1</v>
      </c>
      <c r="D9" s="5" t="n">
        <v>8</v>
      </c>
      <c r="E9" s="5" t="n">
        <v>5</v>
      </c>
    </row>
    <row r="10" customFormat="false" ht="15" hidden="false" customHeight="false" outlineLevel="0" collapsed="false">
      <c r="A10" s="6" t="s">
        <v>17</v>
      </c>
      <c r="B10" s="6"/>
      <c r="C10" s="7" t="n">
        <f aca="false">SUM(C5:C9)</f>
        <v>79</v>
      </c>
      <c r="D10" s="7" t="n">
        <f aca="false">SUM(D5:D9)</f>
        <v>5851</v>
      </c>
      <c r="E10" s="7" t="n">
        <f aca="false">SUM(E5:E9)</f>
        <v>4754</v>
      </c>
    </row>
    <row r="11" customFormat="false" ht="15" hidden="false" customHeight="false" outlineLevel="0" collapsed="false">
      <c r="A11" s="6" t="s">
        <v>18</v>
      </c>
      <c r="B11" s="6"/>
      <c r="C11" s="6"/>
      <c r="D11" s="6"/>
      <c r="E11" s="8" t="n">
        <f aca="false">E10/1000</f>
        <v>4.754</v>
      </c>
    </row>
    <row r="13" customFormat="false" ht="15" hidden="false" customHeight="false" outlineLevel="0" collapsed="false">
      <c r="A13" s="9" t="s">
        <v>19</v>
      </c>
      <c r="B13" s="9" t="s">
        <v>20</v>
      </c>
      <c r="C13" s="10" t="n">
        <v>3</v>
      </c>
      <c r="D13" s="10" t="n">
        <v>203</v>
      </c>
      <c r="E13" s="10" t="n">
        <v>176</v>
      </c>
    </row>
  </sheetData>
  <mergeCells count="2">
    <mergeCell ref="A10:B10"/>
    <mergeCell ref="A11:D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22"/>
  </cols>
  <sheetData>
    <row r="1" customFormat="false" ht="17.35" hidden="false" customHeight="false" outlineLevel="0" collapsed="false">
      <c r="A1" s="1" t="s">
        <v>21</v>
      </c>
    </row>
    <row r="3" customFormat="false" ht="15" hidden="false" customHeight="false" outlineLevel="0" collapsed="false">
      <c r="A3" s="11" t="s">
        <v>22</v>
      </c>
      <c r="B3" s="12" t="s">
        <v>23</v>
      </c>
    </row>
    <row r="5" customFormat="false" ht="24" hidden="false" customHeight="true" outlineLevel="0" collapsed="false">
      <c r="A5" s="3" t="s">
        <v>24</v>
      </c>
      <c r="B5" s="3" t="s">
        <v>23</v>
      </c>
      <c r="C5" s="3" t="s">
        <v>25</v>
      </c>
      <c r="D5" s="3" t="s">
        <v>26</v>
      </c>
      <c r="E5" s="3" t="s">
        <v>27</v>
      </c>
    </row>
    <row r="6" customFormat="false" ht="15" hidden="false" customHeight="false" outlineLevel="0" collapsed="false">
      <c r="A6" s="4" t="s">
        <v>28</v>
      </c>
      <c r="B6" s="13" t="s">
        <v>29</v>
      </c>
      <c r="C6" s="13" t="s">
        <v>30</v>
      </c>
      <c r="D6" s="13" t="s">
        <v>31</v>
      </c>
      <c r="E6" s="14" t="str">
        <f aca="false">TEXT(Tamanho!$E$11,"0.0")&amp;" KLOC"</f>
        <v>4.8 KLOC</v>
      </c>
    </row>
    <row r="7" customFormat="false" ht="15" hidden="false" customHeight="false" outlineLevel="0" collapsed="false">
      <c r="A7" s="4" t="s">
        <v>32</v>
      </c>
      <c r="B7" s="13" t="s">
        <v>33</v>
      </c>
      <c r="C7" s="13" t="s">
        <v>34</v>
      </c>
      <c r="D7" s="13" t="s">
        <v>35</v>
      </c>
      <c r="E7" s="14" t="s">
        <v>36</v>
      </c>
    </row>
    <row r="8" customFormat="false" ht="15" hidden="false" customHeight="false" outlineLevel="0" collapsed="false">
      <c r="A8" s="4" t="s">
        <v>37</v>
      </c>
      <c r="B8" s="13" t="s">
        <v>38</v>
      </c>
      <c r="C8" s="13" t="s">
        <v>39</v>
      </c>
      <c r="D8" s="13" t="s">
        <v>40</v>
      </c>
      <c r="E8" s="14" t="s">
        <v>38</v>
      </c>
    </row>
    <row r="9" customFormat="false" ht="15" hidden="false" customHeight="false" outlineLevel="0" collapsed="false">
      <c r="A9" s="4" t="s">
        <v>41</v>
      </c>
      <c r="B9" s="13" t="s">
        <v>42</v>
      </c>
      <c r="C9" s="13" t="s">
        <v>43</v>
      </c>
      <c r="D9" s="13" t="s">
        <v>44</v>
      </c>
      <c r="E9" s="14" t="s">
        <v>42</v>
      </c>
    </row>
    <row r="10" customFormat="false" ht="15" hidden="false" customHeight="false" outlineLevel="0" collapsed="false">
      <c r="A10" s="4" t="s">
        <v>45</v>
      </c>
      <c r="B10" s="13" t="s">
        <v>46</v>
      </c>
      <c r="C10" s="13" t="s">
        <v>34</v>
      </c>
      <c r="D10" s="13" t="s">
        <v>47</v>
      </c>
      <c r="E10" s="14" t="s">
        <v>46</v>
      </c>
    </row>
    <row r="11" customFormat="false" ht="15" hidden="false" customHeight="false" outlineLevel="0" collapsed="false">
      <c r="A11" s="4" t="s">
        <v>48</v>
      </c>
      <c r="B11" s="13" t="s">
        <v>49</v>
      </c>
      <c r="C11" s="13" t="s">
        <v>50</v>
      </c>
      <c r="D11" s="13" t="s">
        <v>51</v>
      </c>
      <c r="E11" s="14" t="s">
        <v>49</v>
      </c>
    </row>
    <row r="13" customFormat="false" ht="24" hidden="false" customHeight="true" outlineLevel="0" collapsed="false">
      <c r="A13" s="3" t="s">
        <v>52</v>
      </c>
      <c r="B13" s="3" t="s">
        <v>53</v>
      </c>
      <c r="C13" s="3" t="s">
        <v>54</v>
      </c>
      <c r="D13" s="3" t="s">
        <v>55</v>
      </c>
      <c r="E13" s="3" t="s">
        <v>56</v>
      </c>
    </row>
    <row r="14" customFormat="false" ht="15" hidden="false" customHeight="false" outlineLevel="0" collapsed="false">
      <c r="A14" s="4" t="s">
        <v>23</v>
      </c>
      <c r="B14" s="15" t="n">
        <v>2.4</v>
      </c>
      <c r="C14" s="15" t="n">
        <v>1.05</v>
      </c>
      <c r="D14" s="15" t="n">
        <v>2.5</v>
      </c>
      <c r="E14" s="15" t="n">
        <v>0.38</v>
      </c>
    </row>
    <row r="15" customFormat="false" ht="15" hidden="false" customHeight="false" outlineLevel="0" collapsed="false">
      <c r="A15" s="4" t="s">
        <v>25</v>
      </c>
      <c r="B15" s="15" t="n">
        <v>3</v>
      </c>
      <c r="C15" s="15" t="n">
        <v>1.12</v>
      </c>
      <c r="D15" s="15" t="n">
        <v>2.5</v>
      </c>
      <c r="E15" s="15" t="n">
        <v>0.35</v>
      </c>
    </row>
    <row r="16" customFormat="false" ht="15" hidden="false" customHeight="false" outlineLevel="0" collapsed="false">
      <c r="A16" s="4" t="s">
        <v>26</v>
      </c>
      <c r="B16" s="15" t="n">
        <v>3.6</v>
      </c>
      <c r="C16" s="15" t="n">
        <v>1.2</v>
      </c>
      <c r="D16" s="15" t="n">
        <v>2.5</v>
      </c>
      <c r="E16" s="15" t="n">
        <v>0.32</v>
      </c>
    </row>
    <row r="18" customFormat="false" ht="24" hidden="false" customHeight="true" outlineLevel="0" collapsed="false">
      <c r="A18" s="3" t="s">
        <v>57</v>
      </c>
      <c r="B18" s="3" t="s">
        <v>58</v>
      </c>
      <c r="C18" s="3" t="s">
        <v>59</v>
      </c>
      <c r="D18" s="3" t="s">
        <v>60</v>
      </c>
    </row>
    <row r="19" customFormat="false" ht="15" hidden="false" customHeight="false" outlineLevel="0" collapsed="false">
      <c r="A19" s="4" t="s">
        <v>28</v>
      </c>
      <c r="B19" s="13" t="s">
        <v>61</v>
      </c>
      <c r="C19" s="16" t="n">
        <f aca="false">Tamanho!$E$11</f>
        <v>4.754</v>
      </c>
      <c r="D19" s="13" t="s">
        <v>61</v>
      </c>
    </row>
    <row r="20" customFormat="false" ht="15" hidden="false" customHeight="false" outlineLevel="0" collapsed="false">
      <c r="A20" s="4" t="s">
        <v>62</v>
      </c>
      <c r="B20" s="13" t="s">
        <v>63</v>
      </c>
      <c r="C20" s="17" t="n">
        <f aca="false">INDEX($B14:$B16,MATCH($B$3,$A$14:$A$16,0))*C19^INDEX($C14:$C16,MATCH($B$3,$A$14:$A$16,0))</f>
        <v>12.3345519362716</v>
      </c>
      <c r="D20" s="13" t="s">
        <v>64</v>
      </c>
    </row>
    <row r="21" customFormat="false" ht="15" hidden="false" customHeight="false" outlineLevel="0" collapsed="false">
      <c r="A21" s="4" t="s">
        <v>65</v>
      </c>
      <c r="B21" s="13" t="s">
        <v>66</v>
      </c>
      <c r="C21" s="17" t="n">
        <f aca="false">INDEX($D14:$D16,MATCH($B$3,$A$14:$A$16,0))*C20^INDEX($E14:$E16,MATCH($B$3,$A$14:$A$16,0))</f>
        <v>6.4948166042637</v>
      </c>
      <c r="D21" s="13" t="s">
        <v>67</v>
      </c>
    </row>
    <row r="22" customFormat="false" ht="15" hidden="false" customHeight="false" outlineLevel="0" collapsed="false">
      <c r="A22" s="4" t="s">
        <v>32</v>
      </c>
      <c r="B22" s="13" t="s">
        <v>68</v>
      </c>
      <c r="C22" s="17" t="n">
        <f aca="false">C20/C21</f>
        <v>1.8991378337264</v>
      </c>
      <c r="D22" s="13" t="s">
        <v>69</v>
      </c>
    </row>
    <row r="24" customFormat="false" ht="15" hidden="false" customHeight="false" outlineLevel="0" collapsed="false">
      <c r="A24" s="18" t="s">
        <v>70</v>
      </c>
      <c r="B24" s="19"/>
      <c r="C24" s="14" t="n">
        <f aca="false">ROUND(C22,0)</f>
        <v>2</v>
      </c>
      <c r="D24" s="20" t="s">
        <v>69</v>
      </c>
    </row>
  </sheetData>
  <dataValidations count="1">
    <dataValidation allowBlank="false" errorStyle="stop" operator="between" showDropDown="false" showErrorMessage="false" showInputMessage="false" sqref="B3" type="list">
      <formula1>"Orgânico,Semi-separado,Embutido"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2026-10-29T00:55:41Z</dcterms:created>
  <dc:creator>Eduardo Lourenço da Silva</dc:creator>
  <dc:description/>
  <dc:language>en-US</dc:language>
  <cp:lastModifiedBy>Eduardo Lourenço da Silva</cp:lastModifiedBy>
  <dcterms:modified xsi:type="dcterms:W3CDTF">2026-10-29T00:55:41Z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