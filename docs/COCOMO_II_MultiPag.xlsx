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udu-mac/Projects/puc-core/docs/"/>
    </mc:Choice>
  </mc:AlternateContent>
  <xr:revisionPtr revIDLastSave="0" documentId="13_ncr:1_{B22E120F-9313-8E44-9A67-5BF85BB5A1CA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Estimativa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2" l="1"/>
  <c r="C20" i="2"/>
  <c r="E6" i="2"/>
  <c r="C19" i="2"/>
  <c r="E4" i="2"/>
  <c r="C22" i="2" l="1"/>
  <c r="C24" i="2" s="1"/>
</calcChain>
</file>

<file path=xl/sharedStrings.xml><?xml version="1.0" encoding="utf-8"?>
<sst xmlns="http://schemas.openxmlformats.org/spreadsheetml/2006/main" count="62" uniqueCount="51">
  <si>
    <t>Estimativa de esforço, tempo e equipe: COCOMO II (modelo básico)</t>
  </si>
  <si>
    <t>Tipo do projeto</t>
  </si>
  <si>
    <t>Orgânico</t>
  </si>
  <si>
    <t>Identificação do tipo do projeto</t>
  </si>
  <si>
    <t>Semi-separado</t>
  </si>
  <si>
    <t>Embutido</t>
  </si>
  <si>
    <t>MultiPag</t>
  </si>
  <si>
    <t>Tamanho</t>
  </si>
  <si>
    <t>2-50 KLOC</t>
  </si>
  <si>
    <t>50-300 KLOC</t>
  </si>
  <si>
    <t>Acima de 300 KLOC</t>
  </si>
  <si>
    <t>Tamanho da equipe</t>
  </si>
  <si>
    <t>Pequena</t>
  </si>
  <si>
    <t>Média</t>
  </si>
  <si>
    <t>Grande</t>
  </si>
  <si>
    <t>Pequena (3 pessoas)</t>
  </si>
  <si>
    <t>Experiência do desenvolvedor</t>
  </si>
  <si>
    <t>Pouca experiência</t>
  </si>
  <si>
    <t>Média experiência</t>
  </si>
  <si>
    <t>Elevada experiência</t>
  </si>
  <si>
    <t>Ambiente</t>
  </si>
  <si>
    <t>Familiar</t>
  </si>
  <si>
    <t>Pouco familiar</t>
  </si>
  <si>
    <t>Mudanças constantes</t>
  </si>
  <si>
    <t>Inovação</t>
  </si>
  <si>
    <t>Pouca</t>
  </si>
  <si>
    <t>Muita</t>
  </si>
  <si>
    <t>Deadline</t>
  </si>
  <si>
    <t>Baixo</t>
  </si>
  <si>
    <t>Médio</t>
  </si>
  <si>
    <t>Elevado</t>
  </si>
  <si>
    <t>Modelo básico</t>
  </si>
  <si>
    <t>a</t>
  </si>
  <si>
    <t>b</t>
  </si>
  <si>
    <t>c</t>
  </si>
  <si>
    <t>d</t>
  </si>
  <si>
    <t>Resultado</t>
  </si>
  <si>
    <t>Fórmula</t>
  </si>
  <si>
    <t>Valor</t>
  </si>
  <si>
    <t>Unidade</t>
  </si>
  <si>
    <t>KLOC</t>
  </si>
  <si>
    <t>Esforço</t>
  </si>
  <si>
    <t>a × KLOC^b</t>
  </si>
  <si>
    <t>pessoa-mês</t>
  </si>
  <si>
    <t>Tempo de desenvolvimento</t>
  </si>
  <si>
    <t>c × Esforço^d</t>
  </si>
  <si>
    <t>meses</t>
  </si>
  <si>
    <t>Esforço / Tempo</t>
  </si>
  <si>
    <t>pessoas</t>
  </si>
  <si>
    <t>Equipe arredondada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</si>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</sst>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00FF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"/>
  <sheetViews>
    <sheetView tabSelected="1" zoomScaleNormal="100" workbookViewId="0">
      <selection activeCell="E21" sqref="E21"/>
    </sheetView>
  </sheetViews>
  <sheetFormatPr baseColWidth="10" defaultColWidth="8.6640625" defaultRowHeight="15" x14ac:dyDescent="0.2"/>
  <cols>
    <col min="1" max="1" width="34" customWidth="1"/>
    <col min="2" max="2" width="22" customWidth="1"/>
    <col min="3" max="3" width="18" customWidth="1"/>
    <col min="4" max="4" width="20" customWidth="1"/>
    <col min="5" max="5" width="22" customWidth="1"/>
  </cols>
  <sheetData>
    <row r="1" spans="1:5" ht="18" x14ac:dyDescent="0.2">
      <c r="A1" s="1" t="s">
        <v>0</v>
      </c>
    </row>
    <row r="3" spans="1:5" x14ac:dyDescent="0.2">
      <c r="A3" s="4" t="s">
        <v>1</v>
      </c>
      <c r="B3" s="12"/>
      <c r="D3" s="14" t="s">
        <v>50</v>
      </c>
      <c r="E3" s="15">
        <v>4754</v>
      </c>
    </row>
    <row r="4" spans="1:5" x14ac:dyDescent="0.2">
      <c r="D4" s="14" t="s">
        <v>40</v>
      </c>
      <c r="E4" s="16">
        <f>(E3/1000)</f>
        <v>4.7539999999999996</v>
      </c>
    </row>
    <row r="5" spans="1:5" ht="24" customHeight="1" x14ac:dyDescent="0.2">
      <c r="A5" s="2" t="s">
        <v>3</v>
      </c>
      <c r="B5" s="2" t="s">
        <v>2</v>
      </c>
      <c r="C5" s="2" t="s">
        <v>4</v>
      </c>
      <c r="D5" s="2" t="s">
        <v>5</v>
      </c>
      <c r="E5" s="2" t="s">
        <v>6</v>
      </c>
    </row>
    <row r="6" spans="1:5" x14ac:dyDescent="0.2">
      <c r="A6" s="3" t="s">
        <v>7</v>
      </c>
      <c r="B6" s="5" t="s">
        <v>8</v>
      </c>
      <c r="C6" s="5" t="s">
        <v>9</v>
      </c>
      <c r="D6" s="5" t="s">
        <v>10</v>
      </c>
      <c r="E6" s="8">
        <f>E4</f>
        <v>4.7539999999999996</v>
      </c>
    </row>
    <row r="7" spans="1:5" x14ac:dyDescent="0.2">
      <c r="A7" s="3" t="s">
        <v>11</v>
      </c>
      <c r="B7" s="5" t="s">
        <v>12</v>
      </c>
      <c r="C7" s="5" t="s">
        <v>13</v>
      </c>
      <c r="D7" s="5" t="s">
        <v>14</v>
      </c>
      <c r="E7" s="6" t="s">
        <v>15</v>
      </c>
    </row>
    <row r="8" spans="1:5" x14ac:dyDescent="0.2">
      <c r="A8" s="3" t="s">
        <v>16</v>
      </c>
      <c r="B8" s="5" t="s">
        <v>17</v>
      </c>
      <c r="C8" s="5" t="s">
        <v>18</v>
      </c>
      <c r="D8" s="5" t="s">
        <v>19</v>
      </c>
      <c r="E8" s="6" t="s">
        <v>17</v>
      </c>
    </row>
    <row r="9" spans="1:5" x14ac:dyDescent="0.2">
      <c r="A9" s="3" t="s">
        <v>20</v>
      </c>
      <c r="B9" s="5" t="s">
        <v>21</v>
      </c>
      <c r="C9" s="5" t="s">
        <v>22</v>
      </c>
      <c r="D9" s="5" t="s">
        <v>23</v>
      </c>
      <c r="E9" s="6" t="s">
        <v>21</v>
      </c>
    </row>
    <row r="10" spans="1:5" x14ac:dyDescent="0.2">
      <c r="A10" s="3" t="s">
        <v>24</v>
      </c>
      <c r="B10" s="5" t="s">
        <v>25</v>
      </c>
      <c r="C10" s="5" t="s">
        <v>13</v>
      </c>
      <c r="D10" s="5" t="s">
        <v>26</v>
      </c>
      <c r="E10" s="6" t="s">
        <v>25</v>
      </c>
    </row>
    <row r="11" spans="1:5" x14ac:dyDescent="0.2">
      <c r="A11" s="3" t="s">
        <v>27</v>
      </c>
      <c r="B11" s="5" t="s">
        <v>28</v>
      </c>
      <c r="C11" s="5" t="s">
        <v>29</v>
      </c>
      <c r="D11" s="5" t="s">
        <v>30</v>
      </c>
      <c r="E11" s="6" t="s">
        <v>28</v>
      </c>
    </row>
    <row r="13" spans="1:5" ht="24" customHeight="1" x14ac:dyDescent="0.2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35</v>
      </c>
    </row>
    <row r="14" spans="1:5" x14ac:dyDescent="0.2">
      <c r="A14" s="3" t="s">
        <v>2</v>
      </c>
      <c r="B14" s="7">
        <v>2.4</v>
      </c>
      <c r="C14" s="7">
        <v>1.05</v>
      </c>
      <c r="D14" s="7">
        <v>2.5</v>
      </c>
      <c r="E14" s="7">
        <v>0.38</v>
      </c>
    </row>
    <row r="15" spans="1:5" x14ac:dyDescent="0.2">
      <c r="A15" s="3"/>
      <c r="B15" s="7"/>
      <c r="C15" s="7"/>
      <c r="D15" s="7"/>
      <c r="E15" s="7"/>
    </row>
    <row r="16" spans="1:5" x14ac:dyDescent="0.2">
      <c r="A16" s="3"/>
      <c r="B16" s="7"/>
      <c r="C16" s="7"/>
      <c r="D16" s="7"/>
      <c r="E16" s="7"/>
    </row>
    <row r="18" spans="1:4" ht="24" customHeight="1" x14ac:dyDescent="0.2">
      <c r="A18" s="2" t="s">
        <v>36</v>
      </c>
      <c r="B18" s="2" t="s">
        <v>37</v>
      </c>
      <c r="C18" s="2" t="s">
        <v>38</v>
      </c>
      <c r="D18" s="2" t="s">
        <v>39</v>
      </c>
    </row>
    <row r="19" spans="1:4" x14ac:dyDescent="0.2">
      <c r="A19" s="3" t="s">
        <v>7</v>
      </c>
      <c r="B19" s="5" t="s">
        <v>40</v>
      </c>
      <c r="C19" s="8">
        <f>E4</f>
        <v>4.7539999999999996</v>
      </c>
      <c r="D19" s="5" t="s">
        <v>40</v>
      </c>
    </row>
    <row r="20" spans="1:4" x14ac:dyDescent="0.2">
      <c r="A20" s="3" t="s">
        <v>41</v>
      </c>
      <c r="B20" s="5" t="s">
        <v>42</v>
      </c>
      <c r="C20" s="13">
        <f>(E4^C14 * B14)</f>
        <v>12.334551936271604</v>
      </c>
      <c r="D20" s="5" t="s">
        <v>43</v>
      </c>
    </row>
    <row r="21" spans="1:4" x14ac:dyDescent="0.2">
      <c r="A21" s="3" t="s">
        <v>44</v>
      </c>
      <c r="B21" s="5" t="s">
        <v>45</v>
      </c>
      <c r="C21" s="13">
        <f>(C20^E14 * D14)</f>
        <v>6.4948166042636988</v>
      </c>
      <c r="D21" s="5" t="s">
        <v>46</v>
      </c>
    </row>
    <row r="22" spans="1:4" x14ac:dyDescent="0.2">
      <c r="A22" s="3" t="s">
        <v>11</v>
      </c>
      <c r="B22" s="5" t="s">
        <v>47</v>
      </c>
      <c r="C22" s="13">
        <f>C20/C21</f>
        <v>1.8991378337263984</v>
      </c>
      <c r="D22" s="5" t="s">
        <v>48</v>
      </c>
    </row>
    <row r="24" spans="1:4" ht="16" x14ac:dyDescent="0.2">
      <c r="A24" s="9" t="s">
        <v>49</v>
      </c>
      <c r="B24" s="10"/>
      <c r="C24" s="6">
        <f>ROUND(C22,0)</f>
        <v>2</v>
      </c>
      <c r="D24" s="11" t="s">
        <v>48</v>
      </c>
    </row>
  </sheetData>
  <dataValidations count="1">
    <dataValidation type="list" sqref="B3" xr:uid="{00000000-0002-0000-0100-000000000000}">
      <formula1>"Orgânico,Semi-separado,Embutido"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Lourenço da Silva</dc:creator>
  <dc:description/>
  <cp:lastModifiedBy>Eduardo Lourenco da Silva</cp:lastModifiedBy>
  <cp:revision>0</cp:revision>
  <dcterms:created xsi:type="dcterms:W3CDTF">2026-10-29T00:55:41Z</dcterms:created>
  <dcterms:modified xsi:type="dcterms:W3CDTF">2026-10-29T01:15:59Z</dcterms:modified>
  <dc:language>en-US</dc:language>
</cp:coreProperties>
</file>