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I" sheetId="1" state="visible" r:id="rId3"/>
    <sheet name="AIE" sheetId="2" state="visible" r:id="rId4"/>
    <sheet name="EE" sheetId="3" state="visible" r:id="rId5"/>
    <sheet name="SE" sheetId="4" state="visible" r:id="rId6"/>
    <sheet name="CE" sheetId="5" state="visible" r:id="rId7"/>
    <sheet name="Calcul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<sst xmlns="http://schemas.openxmlformats.org/spreadsheetml/2006/main" count="216" uniqueCount="159">
  <si>
    <t xml:space="preserve">Nome</t>
  </si>
  <si>
    <t xml:space="preserve">Itens de Dados Referenciais</t>
  </si>
  <si>
    <t xml:space="preserve">Registros Lógicos</t>
  </si>
  <si>
    <t xml:space="preserve">Complexidade</t>
  </si>
  <si>
    <t xml:space="preserve">Tamanho (FP)</t>
  </si>
  <si>
    <t xml:space="preserve">Imagem da Tela</t>
  </si>
  <si>
    <t xml:space="preserve">Conta do Cliente (Tela Cadastro do Cliente)</t>
  </si>
  <si>
    <t xml:space="preserve">E-mail;
CPF;
Senha (hash);
Data de criação;</t>
  </si>
  <si>
    <t xml:space="preserve">Cliente</t>
  </si>
  <si>
    <t xml:space="preserve">Simples</t>
  </si>
  <si>
    <t xml:space="preserve">(Imagem 1)</t>
  </si>
  <si>
    <t xml:space="preserve">Saque (Tela Solicitar Saque)</t>
  </si>
  <si>
    <t xml:space="preserve">Valor;
Chave Pix;
Status;
Data da solicitação;
Data de conclusão;</t>
  </si>
  <si>
    <t xml:space="preserve">Saque</t>
  </si>
  <si>
    <t xml:space="preserve">(Imagem 2)</t>
  </si>
  <si>
    <t xml:space="preserve"> </t>
  </si>
  <si>
    <t xml:space="preserve">Imagem 1</t>
  </si>
  <si>
    <t xml:space="preserve">Imagem 2</t>
  </si>
  <si>
    <t xml:space="preserve">Confirmação de Boleto (Tela Retorno do Pagamento Boleto)</t>
  </si>
  <si>
    <t xml:space="preserve">Identificador da transação externa;
Status da confirmação;
Data e hora da confirmação;</t>
  </si>
  <si>
    <t xml:space="preserve">Confirmação de boleto</t>
  </si>
  <si>
    <t xml:space="preserve">Diretório de Chaves Pix, DICT (Tela Solicitar Saque)</t>
  </si>
  <si>
    <t xml:space="preserve">Chave Pix;
Tipo da chave;
Nome do titular;
CPF do titular (mascarado);
Situação da chave;</t>
  </si>
  <si>
    <t xml:space="preserve">Chave Pix (DICT)</t>
  </si>
  <si>
    <t xml:space="preserve">Quantidade de arquivos referenciados</t>
  </si>
  <si>
    <t xml:space="preserve">Quantidade de itens de dados referenciados</t>
  </si>
  <si>
    <t xml:space="preserve">Incluir conta de cliente (Tela Cadastro do Cliente)</t>
  </si>
  <si>
    <t xml:space="preserve">ALI Cliente;
ALI Cobrança;
AIE Consulta de CPF;</t>
  </si>
  <si>
    <t xml:space="preserve">4 (campos de entrada: e-mail, CPF, senha, confirmação da senha);
1 (mensagem de retorno ao usuário);</t>
  </si>
  <si>
    <t xml:space="preserve">Complexo</t>
  </si>
  <si>
    <t xml:space="preserve">Alterar conta de cliente (Tela Minha Conta)</t>
  </si>
  <si>
    <t xml:space="preserve">ALI Cliente;</t>
  </si>
  <si>
    <t xml:space="preserve">3 (campos de entrada: e-mail, senha atual, nova senha);
1 (mensagem de retorno ao usuário);</t>
  </si>
  <si>
    <t xml:space="preserve">Excluir conta de cliente (Tela Excluir Conta do Cliente)</t>
  </si>
  <si>
    <t xml:space="preserve">ALI Cliente;
ALI Cobrança;</t>
  </si>
  <si>
    <t xml:space="preserve">2 (campos de entrada: senha de confirmação, confirmação da exclusão);
1 (mensagem de retorno ao usuário);</t>
  </si>
  <si>
    <t xml:space="preserve">(Imagem 3)</t>
  </si>
  <si>
    <t xml:space="preserve">Solicitar saque via Pix (Tela Solicitar Saque)</t>
  </si>
  <si>
    <t xml:space="preserve">ALI Saque;
ALI Business;
ALI Movimentação;
AIE DICT de chaves Pix;</t>
  </si>
  <si>
    <t xml:space="preserve">2 (campos de entrada: valor, chave Pix);
1 (mensagem de retorno ao usuário);</t>
  </si>
  <si>
    <t xml:space="preserve">Moderado</t>
  </si>
  <si>
    <t xml:space="preserve">(Imagem 4)</t>
  </si>
  <si>
    <t xml:space="preserve">Contribuição Para EE</t>
  </si>
  <si>
    <t xml:space="preserve">Fiquei responsável pelas Entradas Externas de Incluir conta de cliente, Alterar conta de cliente, Excluir conta de cliente e Solicitar saque via Pix. Identifiquei os ALIs e AIEs que cada transação usa, contei os itens de dados e defini a complexidade e o tamanho de cada uma.</t>
  </si>
  <si>
    <t xml:space="preserve">Imagem 3</t>
  </si>
  <si>
    <t xml:space="preserve">Imagem 4</t>
  </si>
  <si>
    <t xml:space="preserve">Explicação</t>
  </si>
  <si>
    <t xml:space="preserve">Listar cobranças do cliente com totais (Tela Minhas Cobranças)</t>
  </si>
  <si>
    <t xml:space="preserve">ALI Cliente;
ALI Cobrança;
ALI Pagamento;
ALI Business;</t>
  </si>
  <si>
    <t xml:space="preserve">2 (filtros: CPF do cliente, filtro de status);
7 (colunas da listagem: nome do business, descrição, valor, status, data de criação, data do pagamento, método utilizado);
3 (totais calculados: total pago, total pendente, quantidade de cobranças);</t>
  </si>
  <si>
    <t xml:space="preserve">O total pago, o total pendente e a quantidade de cobranças resultam de somas e contagens sobre as cobranças e os pagamentos do cliente. Esses números são derivados e não ficam gravados.</t>
  </si>
  <si>
    <t xml:space="preserve">Emitir comprovante de saque (Tela Comprovante de Saque)</t>
  </si>
  <si>
    <t xml:space="preserve">ALI Saque;
ALI Business;</t>
  </si>
  <si>
    <t xml:space="preserve">7 (dados do saque e do business: código, valor, chave Pix, status, data e hora da solicitação, data de conclusão, nome do business);
2 (saldos calculados: saldo anterior e saldo posterior);</t>
  </si>
  <si>
    <t xml:space="preserve">Os saldos anterior e posterior ao saque são calculados a partir do saldo atual do business e do valor sacado, e o arquivo do comprovante é gerado pelo sistema. Ambos são dados derivados.</t>
  </si>
  <si>
    <t xml:space="preserve">Entrada Quantidade Arquivos Referenciados</t>
  </si>
  <si>
    <t xml:space="preserve">Entrada Quantidade de itens de dados referenciados</t>
  </si>
  <si>
    <t xml:space="preserve">Complexidade Entrada</t>
  </si>
  <si>
    <t xml:space="preserve">Tamanho Entrada (FP)</t>
  </si>
  <si>
    <t xml:space="preserve">Saída Quantidade Arquivos Referenciados</t>
  </si>
  <si>
    <t xml:space="preserve">Saída Quantidade de itens de dados referenciados</t>
  </si>
  <si>
    <t xml:space="preserve">Complexidade Saída</t>
  </si>
  <si>
    <t xml:space="preserve">Tamanho Saída (FP)</t>
  </si>
  <si>
    <t xml:space="preserve">Tamanho Final (FP)</t>
  </si>
  <si>
    <t xml:space="preserve">Imagem</t>
  </si>
  <si>
    <t xml:space="preserve">Validar chave Pix de destino (Tela Solicitar Saque)</t>
  </si>
  <si>
    <t xml:space="preserve">AIE DICT de chaves Pix;</t>
  </si>
  <si>
    <t xml:space="preserve">Chave Pix;</t>
  </si>
  <si>
    <t xml:space="preserve">Tipo da chave;
Nome do titular;
CPF do titular (mascarado);
Situação da chave;</t>
  </si>
  <si>
    <t xml:space="preserve">Listar saques recentes (Tela Solicitar Saque)</t>
  </si>
  <si>
    <t xml:space="preserve">ALI Saque;</t>
  </si>
  <si>
    <t xml:space="preserve">Página;</t>
  </si>
  <si>
    <t xml:space="preserve">Valor do saque;
Data da solicitação;
Data de conclusão;
Status do saque;</t>
  </si>
  <si>
    <t xml:space="preserve">Pontos de Função Brutos (PFB = ALI + AIE + EE + SE + CE)</t>
  </si>
  <si>
    <t xml:space="preserve">Tipo</t>
  </si>
  <si>
    <t xml:space="preserve">Função</t>
  </si>
  <si>
    <t xml:space="preserve">Pontos de Função</t>
  </si>
  <si>
    <t xml:space="preserve">ALI</t>
  </si>
  <si>
    <t xml:space="preserve">Total ALI</t>
  </si>
  <si>
    <t xml:space="preserve">AIE</t>
  </si>
  <si>
    <t xml:space="preserve">Total AIE</t>
  </si>
  <si>
    <t xml:space="preserve">EE</t>
  </si>
  <si>
    <t xml:space="preserve">Total EE</t>
  </si>
  <si>
    <t xml:space="preserve">SE</t>
  </si>
  <si>
    <t xml:space="preserve">Total SE</t>
  </si>
  <si>
    <t xml:space="preserve">CE</t>
  </si>
  <si>
    <t xml:space="preserve">Total CE</t>
  </si>
  <si>
    <t xml:space="preserve">PFB</t>
  </si>
  <si>
    <t xml:space="preserve">Pontos de Função Brutos </t>
  </si>
  <si>
    <t xml:space="preserve">Características Gerais da Aplicação (CGA) – Nível de Influência (NI)</t>
  </si>
  <si>
    <t xml:space="preserve">Nº</t>
  </si>
  <si>
    <t xml:space="preserve">Característica</t>
  </si>
  <si>
    <t xml:space="preserve">Nível (0 a 5)</t>
  </si>
  <si>
    <t xml:space="preserve">Grau de influência</t>
  </si>
  <si>
    <t xml:space="preserve">Justificativa</t>
  </si>
  <si>
    <t xml:space="preserve">Comunicação de dados</t>
  </si>
  <si>
    <t xml:space="preserve">O sistema só é acessado pelo navegador, pela internet, e conversa com vários serviços externos por API e webhooks: gateways de Pix, cartão, boleto e cripto, o DICT e a consulta de CPF. Há mais de um tipo de comunicação, mas todos sobre HTTPS.</t>
  </si>
  <si>
    <t xml:space="preserve">Processamento distribuído</t>
  </si>
  <si>
    <t xml:space="preserve">A aplicação e o banco são centralizados em um único ambiente em nuvem. Só a validação de pagamentos e a consulta de chaves e CPF ocorrem em serviços de terceiros.</t>
  </si>
  <si>
    <t xml:space="preserve">Desempenho</t>
  </si>
  <si>
    <t xml:space="preserve">O tempo de resposta importa no fluxo de pagamento, pois o cliente espera o QR Code e a confirmação, mas não há exigência contratual de tempo nem processamento crítico em tempo real.</t>
  </si>
  <si>
    <t xml:space="preserve">Utilização de equipamento</t>
  </si>
  <si>
    <t xml:space="preserve">O MultiPag roda em recursos padrão de nuvem, sem restrição de hardware ou de operação que obrigue um cuidado especial com a configuração.</t>
  </si>
  <si>
    <t xml:space="preserve">Volume de transações</t>
  </si>
  <si>
    <t xml:space="preserve">Vários businesses emitem cobranças e vários clientes pagam ao mesmo tempo, com picos no início do mês por causa das cobranças recorrentes, mas sem um pico crítico fixo.</t>
  </si>
  <si>
    <t xml:space="preserve">Entrada on-line</t>
  </si>
  <si>
    <t xml:space="preserve">Todas as entradas são feitas on-line, por formulários (cadastro, cobrança, pagamento, saque) e por retornos automáticos dos gateways. Não existe processamento em lote.</t>
  </si>
  <si>
    <t xml:space="preserve">Eficiência do usuário final</t>
  </si>
  <si>
    <t xml:space="preserve">Os fluxos são guiados em etapas, com validação na hora (CPF verificado, chave Pix encontrada), botão de copiar código, QR Code e totais já calculados, para reduzir o esforço do usuário.</t>
  </si>
  <si>
    <t xml:space="preserve">Atualização on-line</t>
  </si>
  <si>
    <t xml:space="preserve">Cobrança, pagamento, saldo, extrato e saque são atualizados on-line a cada operação, com recuperação pelo status. Não há duplicação de dados em tempo real nem recuperação automática completa, por isso a nota não é 5.</t>
  </si>
  <si>
    <t xml:space="preserve">Complexidade do processamento</t>
  </si>
  <si>
    <t xml:space="preserve">Há regras de negócio moderadas: controle de status da cobrança, validação de saldo, cálculo de cotação e de totais, autenticação e senha com hash. Não há algoritmos matemáticos complexos.</t>
  </si>
  <si>
    <t xml:space="preserve">Reutilização de código</t>
  </si>
  <si>
    <t xml:space="preserve">O reaproveitamento se limita ao modelo de dados e à especificação da API. O MultiPag não é uma solução white label, então grande parte do código será específica.</t>
  </si>
  <si>
    <t xml:space="preserve">Facilidade de implantação</t>
  </si>
  <si>
    <t xml:space="preserve">A publicação em nuvem é simples, mas a implantação exige configurar as integrações com os gateways e cadastrar os businesses iniciais, sem requisito formal de conversão de dados.</t>
  </si>
  <si>
    <t xml:space="preserve">Facilidade operacional</t>
  </si>
  <si>
    <t xml:space="preserve">A operação depende de rotinas de backup, registro de transações (RNF09) e acompanhamento da confirmação dos pagamentos, com algum procedimento manual quando um gateway falha.</t>
  </si>
  <si>
    <t xml:space="preserve">Múltiplos locais</t>
  </si>
  <si>
    <t xml:space="preserve">Uma única instalação atende vários businesses e clientes que acessam de lugares e dispositivos diferentes, mas sem instalações separadas em locais distintos.</t>
  </si>
  <si>
    <t xml:space="preserve">Facilidade de mudanças</t>
  </si>
  <si>
    <t xml:space="preserve">As regras ficam no código, e um novo método de pagamento ou novo tipo de cobrança exige alteração pontual. O usuário só configura filtros e os métodos habilitados de cada cobrança.</t>
  </si>
  <si>
    <t xml:space="preserve">NI</t>
  </si>
  <si>
    <t xml:space="preserve">Nível de Influência total (soma das 14 CGA)</t>
  </si>
  <si>
    <t xml:space="preserve">Fator de Ajuste (FA) e Pontos de Função Ajustados (PFA)</t>
  </si>
  <si>
    <t xml:space="preserve">Indicador</t>
  </si>
  <si>
    <t xml:space="preserve">Descrição</t>
  </si>
  <si>
    <t xml:space="preserve">Valor</t>
  </si>
  <si>
    <t xml:space="preserve">FA</t>
  </si>
  <si>
    <t xml:space="preserve">Fator de Ajuste</t>
  </si>
  <si>
    <t xml:space="preserve">PFA</t>
  </si>
  <si>
    <t xml:space="preserve">Pontos de Função Ajustados</t>
  </si>
  <si>
    <t xml:space="preserve">Estimativa de esforço, prazo e custo</t>
  </si>
  <si>
    <t xml:space="preserve">Item</t>
  </si>
  <si>
    <t xml:space="preserve">Unidade</t>
  </si>
  <si>
    <t xml:space="preserve">Produtividade</t>
  </si>
  <si>
    <t xml:space="preserve">Horas de trabalho por Ponto de Função</t>
  </si>
  <si>
    <t xml:space="preserve">h/PF</t>
  </si>
  <si>
    <t xml:space="preserve">Jornada</t>
  </si>
  <si>
    <t xml:space="preserve">Horas de trabalho por pessoa por dia</t>
  </si>
  <si>
    <t xml:space="preserve">h/dia</t>
  </si>
  <si>
    <t xml:space="preserve">Equipe</t>
  </si>
  <si>
    <t xml:space="preserve">Quantidade de pessoas no projeto</t>
  </si>
  <si>
    <t xml:space="preserve">pessoas</t>
  </si>
  <si>
    <t xml:space="preserve">Valor da hora</t>
  </si>
  <si>
    <t xml:space="preserve">Custo de uma hora de trabalho</t>
  </si>
  <si>
    <t xml:space="preserve">R$/h</t>
  </si>
  <si>
    <t xml:space="preserve">Esforço</t>
  </si>
  <si>
    <t xml:space="preserve">Esforço total (homem-hora)</t>
  </si>
  <si>
    <t xml:space="preserve">hh</t>
  </si>
  <si>
    <t xml:space="preserve">Prazo</t>
  </si>
  <si>
    <t xml:space="preserve">Prazo estimado</t>
  </si>
  <si>
    <t xml:space="preserve">dias</t>
  </si>
  <si>
    <t xml:space="preserve">Prazo estimado em meses (aprox.)</t>
  </si>
  <si>
    <t xml:space="preserve">meses</t>
  </si>
  <si>
    <t xml:space="preserve">Custo</t>
  </si>
  <si>
    <t xml:space="preserve">Custo estimado do sistema</t>
  </si>
  <si>
    <t xml:space="preserve">R$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</si>
</sst>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&quot;R$ &quot;#,##0.00"/>
    <numFmt numFmtId="168" formatCode="#,##0.00"/>
    <numFmt numFmtId="169" formatCode="#,##0.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sz val="11"/>
      <color rgb="FF000000"/>
      <name val="Arial"/>
      <family val="2"/>
      <charset val="1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7"/>
        <bgColor rgb="FF008080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29880</xdr:colOff>
      <xdr:row>2</xdr:row>
      <xdr:rowOff>0</xdr:rowOff>
    </xdr:from>
    <xdr:to>
      <xdr:col>12</xdr:col>
      <xdr:colOff>712800</xdr:colOff>
      <xdr:row>25</xdr:row>
      <xdr:rowOff>18360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4285520" y="96192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29880</xdr:colOff>
      <xdr:row>25</xdr:row>
      <xdr:rowOff>0</xdr:rowOff>
    </xdr:from>
    <xdr:to>
      <xdr:col>12</xdr:col>
      <xdr:colOff>712800</xdr:colOff>
      <xdr:row>52</xdr:row>
      <xdr:rowOff>66240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4285520" y="589608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29880</xdr:colOff>
      <xdr:row>2</xdr:row>
      <xdr:rowOff>0</xdr:rowOff>
    </xdr:from>
    <xdr:to>
      <xdr:col>16</xdr:col>
      <xdr:colOff>8640</xdr:colOff>
      <xdr:row>24</xdr:row>
      <xdr:rowOff>28080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3668480" y="113364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29880</xdr:colOff>
      <xdr:row>24</xdr:row>
      <xdr:rowOff>0</xdr:rowOff>
    </xdr:from>
    <xdr:to>
      <xdr:col>16</xdr:col>
      <xdr:colOff>8640</xdr:colOff>
      <xdr:row>51</xdr:row>
      <xdr:rowOff>66240</xdr:rowOff>
    </xdr:to>
    <xdr:pic>
      <xdr:nvPicPr>
        <xdr:cNvPr id="3" name="Image 2" descr="Picture"/>
        <xdr:cNvPicPr/>
      </xdr:nvPicPr>
      <xdr:blipFill>
        <a:blip r:embed="rId2"/>
        <a:stretch/>
      </xdr:blipFill>
      <xdr:spPr>
        <a:xfrm>
          <a:off x="13668480" y="605808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29880</xdr:colOff>
      <xdr:row>2</xdr:row>
      <xdr:rowOff>0</xdr:rowOff>
    </xdr:from>
    <xdr:to>
      <xdr:col>17</xdr:col>
      <xdr:colOff>8640</xdr:colOff>
      <xdr:row>10</xdr:row>
      <xdr:rowOff>132840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7412480" y="127620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12</xdr:row>
      <xdr:rowOff>0</xdr:rowOff>
    </xdr:from>
    <xdr:to>
      <xdr:col>17</xdr:col>
      <xdr:colOff>8640</xdr:colOff>
      <xdr:row>39</xdr:row>
      <xdr:rowOff>66240</xdr:rowOff>
    </xdr:to>
    <xdr:pic>
      <xdr:nvPicPr>
        <xdr:cNvPr id="5" name="Image 2" descr="Picture"/>
        <xdr:cNvPicPr/>
      </xdr:nvPicPr>
      <xdr:blipFill>
        <a:blip r:embed="rId2"/>
        <a:stretch/>
      </xdr:blipFill>
      <xdr:spPr>
        <a:xfrm>
          <a:off x="17412480" y="645804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39</xdr:row>
      <xdr:rowOff>0</xdr:rowOff>
    </xdr:from>
    <xdr:to>
      <xdr:col>17</xdr:col>
      <xdr:colOff>8640</xdr:colOff>
      <xdr:row>66</xdr:row>
      <xdr:rowOff>66240</xdr:rowOff>
    </xdr:to>
    <xdr:pic>
      <xdr:nvPicPr>
        <xdr:cNvPr id="6" name="Image 3" descr="Picture"/>
        <xdr:cNvPicPr/>
      </xdr:nvPicPr>
      <xdr:blipFill>
        <a:blip r:embed="rId3"/>
        <a:stretch/>
      </xdr:blipFill>
      <xdr:spPr>
        <a:xfrm>
          <a:off x="17412480" y="1134432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66</xdr:row>
      <xdr:rowOff>0</xdr:rowOff>
    </xdr:from>
    <xdr:to>
      <xdr:col>17</xdr:col>
      <xdr:colOff>8640</xdr:colOff>
      <xdr:row>93</xdr:row>
      <xdr:rowOff>66240</xdr:rowOff>
    </xdr:to>
    <xdr:pic>
      <xdr:nvPicPr>
        <xdr:cNvPr id="7" name="Image 4" descr="Picture"/>
        <xdr:cNvPicPr/>
      </xdr:nvPicPr>
      <xdr:blipFill>
        <a:blip r:embed="rId4"/>
        <a:stretch/>
      </xdr:blipFill>
      <xdr:spPr>
        <a:xfrm>
          <a:off x="17412480" y="1623060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29880</xdr:colOff>
      <xdr:row>3</xdr:row>
      <xdr:rowOff>0</xdr:rowOff>
    </xdr:from>
    <xdr:to>
      <xdr:col>15</xdr:col>
      <xdr:colOff>8640</xdr:colOff>
      <xdr:row>30</xdr:row>
      <xdr:rowOff>65880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9533240" y="275256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29880</xdr:colOff>
      <xdr:row>30</xdr:row>
      <xdr:rowOff>0</xdr:rowOff>
    </xdr:from>
    <xdr:to>
      <xdr:col>15</xdr:col>
      <xdr:colOff>8640</xdr:colOff>
      <xdr:row>57</xdr:row>
      <xdr:rowOff>66240</xdr:rowOff>
    </xdr:to>
    <xdr:pic>
      <xdr:nvPicPr>
        <xdr:cNvPr id="9" name="Image 2" descr="Picture"/>
        <xdr:cNvPicPr/>
      </xdr:nvPicPr>
      <xdr:blipFill>
        <a:blip r:embed="rId2"/>
        <a:stretch/>
      </xdr:blipFill>
      <xdr:spPr>
        <a:xfrm>
          <a:off x="19533240" y="763920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29880</xdr:colOff>
      <xdr:row>1</xdr:row>
      <xdr:rowOff>0</xdr:rowOff>
    </xdr:from>
    <xdr:to>
      <xdr:col>19</xdr:col>
      <xdr:colOff>8640</xdr:colOff>
      <xdr:row>16</xdr:row>
      <xdr:rowOff>47160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17447400" y="54288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29880</xdr:colOff>
      <xdr:row>17</xdr:row>
      <xdr:rowOff>0</xdr:rowOff>
    </xdr:from>
    <xdr:to>
      <xdr:col>19</xdr:col>
      <xdr:colOff>8640</xdr:colOff>
      <xdr:row>44</xdr:row>
      <xdr:rowOff>66240</xdr:rowOff>
    </xdr:to>
    <xdr:pic>
      <xdr:nvPicPr>
        <xdr:cNvPr id="11" name="Image 2" descr="Picture"/>
        <xdr:cNvPicPr/>
      </xdr:nvPicPr>
      <xdr:blipFill>
        <a:blip r:embed="rId2"/>
        <a:stretch/>
      </xdr:blipFill>
      <xdr:spPr>
        <a:xfrm>
          <a:off x="17447400" y="562932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890625" defaultRowHeight="14.25" zeroHeight="false" outlineLevelRow="0" outlineLevelCol="0"/>
  <cols>
    <col collapsed="false" customWidth="true" hidden="false" outlineLevel="0" max="1" min="1" style="1" width="15.44"/>
    <col collapsed="false" customWidth="true" hidden="false" outlineLevel="0" max="2" min="2" style="1" width="23.44"/>
    <col collapsed="false" customWidth="true" hidden="false" outlineLevel="0" max="3" min="3" style="1" width="15"/>
    <col collapsed="false" customWidth="true" hidden="false" outlineLevel="0" max="4" min="4" style="1" width="12.44"/>
    <col collapsed="false" customWidth="true" hidden="false" outlineLevel="0" max="5" min="5" style="1" width="8.44"/>
    <col collapsed="false" customWidth="true" hidden="false" outlineLevel="0" max="6" min="6" style="1" width="47.77"/>
    <col collapsed="false" customWidth="false" hidden="false" outlineLevel="0" max="16384" min="7" style="1" width="8.8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61.5" hidden="false" customHeight="true" outlineLevel="0" collapsed="false">
      <c r="A2" s="3" t="s">
        <v>6</v>
      </c>
      <c r="B2" s="3" t="s">
        <v>7</v>
      </c>
      <c r="C2" s="3" t="s">
        <v>8</v>
      </c>
      <c r="D2" s="1" t="s">
        <v>9</v>
      </c>
      <c r="E2" s="1" t="n">
        <v>7</v>
      </c>
      <c r="F2" s="1" t="s">
        <v>10</v>
      </c>
    </row>
    <row r="3" customFormat="false" ht="75" hidden="false" customHeight="true" outlineLevel="0" collapsed="false">
      <c r="A3" s="3" t="s">
        <v>11</v>
      </c>
      <c r="B3" s="3" t="s">
        <v>12</v>
      </c>
      <c r="C3" s="3" t="s">
        <v>13</v>
      </c>
      <c r="D3" s="1" t="s">
        <v>9</v>
      </c>
      <c r="E3" s="1" t="n">
        <v>7</v>
      </c>
      <c r="F3" s="1" t="s">
        <v>14</v>
      </c>
      <c r="I3" s="1" t="s">
        <v>15</v>
      </c>
      <c r="J3" s="1" t="s">
        <v>16</v>
      </c>
    </row>
    <row r="26" customFormat="false" ht="14.25" hidden="false" customHeight="false" outlineLevel="0" collapsed="false">
      <c r="J26" s="1" t="s">
        <v>17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5.11"/>
    <col collapsed="false" customWidth="true" hidden="false" outlineLevel="0" max="2" min="2" style="0" width="23.44"/>
    <col collapsed="false" customWidth="true" hidden="false" outlineLevel="0" max="3" min="3" style="0" width="15"/>
    <col collapsed="false" customWidth="true" hidden="false" outlineLevel="0" max="4" min="4" style="0" width="12.44"/>
    <col collapsed="false" customWidth="true" hidden="false" outlineLevel="0" max="5" min="5" style="0" width="12"/>
    <col collapsed="false" customWidth="true" hidden="false" outlineLevel="0" max="6" min="6" style="0" width="13.55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75" hidden="false" customHeight="true" outlineLevel="0" collapsed="false">
      <c r="A2" s="3" t="s">
        <v>18</v>
      </c>
      <c r="B2" s="3" t="s">
        <v>19</v>
      </c>
      <c r="C2" s="3" t="s">
        <v>20</v>
      </c>
      <c r="D2" s="3" t="s">
        <v>9</v>
      </c>
      <c r="E2" s="3" t="n">
        <v>5</v>
      </c>
      <c r="F2" s="3" t="s">
        <v>10</v>
      </c>
    </row>
    <row r="3" customFormat="false" ht="88.5" hidden="false" customHeight="true" outlineLevel="0" collapsed="false">
      <c r="A3" s="3" t="s">
        <v>21</v>
      </c>
      <c r="B3" s="3" t="s">
        <v>22</v>
      </c>
      <c r="C3" s="3" t="s">
        <v>23</v>
      </c>
      <c r="D3" s="3" t="s">
        <v>9</v>
      </c>
      <c r="E3" s="3" t="n">
        <v>5</v>
      </c>
      <c r="F3" s="3" t="s">
        <v>14</v>
      </c>
      <c r="M3" s="4" t="s">
        <v>16</v>
      </c>
    </row>
    <row r="25" customFormat="false" ht="14.25" hidden="false" customHeight="false" outlineLevel="0" collapsed="false">
      <c r="M25" s="0" t="s">
        <v>17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1.89"/>
    <col collapsed="false" customWidth="true" hidden="false" outlineLevel="0" max="3" min="3" style="0" width="36.66"/>
    <col collapsed="false" customWidth="true" hidden="false" outlineLevel="0" max="4" min="4" style="0" width="12.44"/>
    <col collapsed="false" customWidth="true" hidden="false" outlineLevel="0" max="5" min="5" style="0" width="12"/>
    <col collapsed="false" customWidth="true" hidden="false" outlineLevel="0" max="6" min="6" style="0" width="13.55"/>
  </cols>
  <sheetData>
    <row r="1" customFormat="false" ht="14.25" hidden="false" customHeight="false" outlineLevel="0" collapsed="false">
      <c r="A1" s="2" t="s">
        <v>0</v>
      </c>
      <c r="B1" s="2" t="s">
        <v>24</v>
      </c>
      <c r="C1" s="2" t="s">
        <v>25</v>
      </c>
      <c r="D1" s="2" t="s">
        <v>3</v>
      </c>
      <c r="E1" s="2" t="s">
        <v>4</v>
      </c>
      <c r="F1" s="2" t="s">
        <v>5</v>
      </c>
    </row>
    <row r="2" customFormat="false" ht="86.25" hidden="false" customHeight="true" outlineLevel="0" collapsed="false">
      <c r="A2" s="3" t="s">
        <v>26</v>
      </c>
      <c r="B2" s="3" t="s">
        <v>27</v>
      </c>
      <c r="C2" s="3" t="s">
        <v>28</v>
      </c>
      <c r="D2" s="1" t="s">
        <v>29</v>
      </c>
      <c r="E2" s="1" t="n">
        <v>6</v>
      </c>
      <c r="F2" s="1" t="s">
        <v>10</v>
      </c>
    </row>
    <row r="3" customFormat="false" ht="86.25" hidden="false" customHeight="true" outlineLevel="0" collapsed="false">
      <c r="A3" s="3" t="s">
        <v>30</v>
      </c>
      <c r="B3" s="3" t="s">
        <v>31</v>
      </c>
      <c r="C3" s="3" t="s">
        <v>32</v>
      </c>
      <c r="D3" s="1" t="s">
        <v>9</v>
      </c>
      <c r="E3" s="1" t="n">
        <v>3</v>
      </c>
      <c r="F3" s="1" t="s">
        <v>14</v>
      </c>
      <c r="N3" s="4" t="s">
        <v>16</v>
      </c>
    </row>
    <row r="4" customFormat="false" ht="86.25" hidden="false" customHeight="true" outlineLevel="0" collapsed="false">
      <c r="A4" s="3" t="s">
        <v>33</v>
      </c>
      <c r="B4" s="3" t="s">
        <v>34</v>
      </c>
      <c r="C4" s="3" t="s">
        <v>35</v>
      </c>
      <c r="D4" s="1" t="s">
        <v>9</v>
      </c>
      <c r="E4" s="1" t="n">
        <v>3</v>
      </c>
      <c r="F4" s="1" t="s">
        <v>36</v>
      </c>
    </row>
    <row r="5" s="3" customFormat="true" ht="86.25" hidden="false" customHeight="true" outlineLevel="0" collapsed="false">
      <c r="A5" s="3" t="s">
        <v>37</v>
      </c>
      <c r="B5" s="3" t="s">
        <v>38</v>
      </c>
      <c r="C5" s="3" t="s">
        <v>39</v>
      </c>
      <c r="D5" s="1" t="s">
        <v>40</v>
      </c>
      <c r="E5" s="1" t="n">
        <v>4</v>
      </c>
      <c r="F5" s="1" t="s">
        <v>41</v>
      </c>
    </row>
    <row r="6" customFormat="false" ht="14.25" hidden="false" customHeight="false" outlineLevel="0" collapsed="false">
      <c r="A6" s="2" t="s">
        <v>42</v>
      </c>
      <c r="B6" s="5"/>
      <c r="C6" s="5"/>
    </row>
    <row r="7" customFormat="false" ht="63.75" hidden="false" customHeight="true" outlineLevel="0" collapsed="false">
      <c r="A7" s="6" t="s">
        <v>43</v>
      </c>
      <c r="B7" s="6"/>
      <c r="C7" s="6"/>
    </row>
    <row r="13" customFormat="false" ht="14.25" hidden="false" customHeight="false" outlineLevel="0" collapsed="false">
      <c r="N13" s="0" t="s">
        <v>17</v>
      </c>
    </row>
    <row r="40" customFormat="false" ht="14.25" hidden="false" customHeight="false" outlineLevel="0" collapsed="false">
      <c r="N40" s="0" t="s">
        <v>44</v>
      </c>
    </row>
    <row r="67" customFormat="false" ht="14.25" hidden="false" customHeight="false" outlineLevel="0" collapsed="false">
      <c r="N67" s="0" t="s">
        <v>45</v>
      </c>
    </row>
  </sheetData>
  <mergeCells count="1">
    <mergeCell ref="A7:C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5.22"/>
    <col collapsed="false" customWidth="true" hidden="false" outlineLevel="0" max="2" min="2" style="0" width="31.89"/>
    <col collapsed="false" customWidth="true" hidden="false" outlineLevel="0" max="3" min="3" style="0" width="39.33"/>
    <col collapsed="false" customWidth="true" hidden="false" outlineLevel="0" max="4" min="4" style="0" width="12.44"/>
    <col collapsed="false" customWidth="true" hidden="false" outlineLevel="0" max="5" min="5" style="0" width="12"/>
    <col collapsed="false" customWidth="true" hidden="false" outlineLevel="0" max="6" min="6" style="0" width="44.78"/>
    <col collapsed="false" customWidth="true" hidden="false" outlineLevel="0" max="7" min="7" style="0" width="18"/>
  </cols>
  <sheetData>
    <row r="1" customFormat="false" ht="14.25" hidden="false" customHeight="false" outlineLevel="0" collapsed="false">
      <c r="A1" s="2" t="s">
        <v>0</v>
      </c>
      <c r="B1" s="2" t="s">
        <v>24</v>
      </c>
      <c r="C1" s="2" t="s">
        <v>25</v>
      </c>
      <c r="D1" s="2" t="s">
        <v>3</v>
      </c>
      <c r="E1" s="2" t="s">
        <v>4</v>
      </c>
      <c r="F1" s="2" t="s">
        <v>46</v>
      </c>
      <c r="G1" s="2" t="s">
        <v>5</v>
      </c>
    </row>
    <row r="2" customFormat="false" ht="102" hidden="false" customHeight="true" outlineLevel="0" collapsed="false">
      <c r="A2" s="3" t="s">
        <v>47</v>
      </c>
      <c r="B2" s="3" t="s">
        <v>48</v>
      </c>
      <c r="C2" s="3" t="s">
        <v>49</v>
      </c>
      <c r="D2" s="1" t="s">
        <v>29</v>
      </c>
      <c r="E2" s="1" t="n">
        <v>7</v>
      </c>
      <c r="F2" s="3" t="s">
        <v>50</v>
      </c>
      <c r="G2" s="1" t="s">
        <v>10</v>
      </c>
    </row>
    <row r="3" customFormat="false" ht="100.5" hidden="false" customHeight="true" outlineLevel="0" collapsed="false">
      <c r="A3" s="3" t="s">
        <v>51</v>
      </c>
      <c r="B3" s="3" t="s">
        <v>52</v>
      </c>
      <c r="C3" s="3" t="s">
        <v>53</v>
      </c>
      <c r="D3" s="1" t="s">
        <v>40</v>
      </c>
      <c r="E3" s="1" t="n">
        <v>5</v>
      </c>
      <c r="F3" s="3" t="s">
        <v>54</v>
      </c>
      <c r="G3" s="1" t="s">
        <v>14</v>
      </c>
    </row>
    <row r="4" customFormat="false" ht="14.25" hidden="false" customHeight="false" outlineLevel="0" collapsed="false">
      <c r="L4" s="0" t="s">
        <v>16</v>
      </c>
    </row>
    <row r="31" customFormat="false" ht="14.25" hidden="false" customHeight="false" outlineLevel="0" collapsed="false">
      <c r="L31" s="0" t="s">
        <v>17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0" width="20.33"/>
    <col collapsed="false" customWidth="true" hidden="false" outlineLevel="0" max="3" min="3" style="0" width="20.66"/>
    <col collapsed="false" customWidth="true" hidden="false" outlineLevel="0" max="4" min="4" style="0" width="13.77"/>
    <col collapsed="false" customWidth="true" hidden="false" outlineLevel="0" max="5" min="5" style="0" width="9.89"/>
    <col collapsed="false" customWidth="true" hidden="false" outlineLevel="0" max="6" min="6" style="0" width="15.22"/>
    <col collapsed="false" customWidth="true" hidden="false" outlineLevel="0" max="7" min="7" style="0" width="16.78"/>
    <col collapsed="false" customWidth="true" hidden="false" outlineLevel="0" max="9" min="8" style="0" width="10.78"/>
    <col collapsed="false" customWidth="true" hidden="false" outlineLevel="0" max="10" min="10" style="0" width="9.77"/>
    <col collapsed="false" customWidth="true" hidden="false" outlineLevel="0" max="11" min="11" style="0" width="9.89"/>
  </cols>
  <sheetData>
    <row r="1" s="3" customFormat="true" ht="42.75" hidden="false" customHeight="true" outlineLevel="0" collapsed="false">
      <c r="A1" s="7" t="s">
        <v>0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64</v>
      </c>
    </row>
    <row r="2" customFormat="false" ht="100.5" hidden="false" customHeight="true" outlineLevel="0" collapsed="false">
      <c r="A2" s="3" t="s">
        <v>65</v>
      </c>
      <c r="B2" s="3" t="s">
        <v>66</v>
      </c>
      <c r="C2" s="3" t="s">
        <v>67</v>
      </c>
      <c r="D2" s="3" t="s">
        <v>9</v>
      </c>
      <c r="E2" s="3" t="n">
        <v>3</v>
      </c>
      <c r="F2" s="3" t="s">
        <v>66</v>
      </c>
      <c r="G2" s="3" t="s">
        <v>68</v>
      </c>
      <c r="H2" s="3" t="s">
        <v>9</v>
      </c>
      <c r="I2" s="3" t="n">
        <v>3</v>
      </c>
      <c r="J2" s="3" t="n">
        <v>3</v>
      </c>
      <c r="K2" s="3" t="s">
        <v>10</v>
      </c>
      <c r="P2" s="4" t="s">
        <v>16</v>
      </c>
    </row>
    <row r="3" customFormat="false" ht="100.5" hidden="false" customHeight="true" outlineLevel="0" collapsed="false">
      <c r="A3" s="3" t="s">
        <v>69</v>
      </c>
      <c r="B3" s="3" t="s">
        <v>70</v>
      </c>
      <c r="C3" s="3" t="s">
        <v>71</v>
      </c>
      <c r="D3" s="3" t="s">
        <v>9</v>
      </c>
      <c r="E3" s="3" t="n">
        <v>3</v>
      </c>
      <c r="F3" s="3" t="s">
        <v>70</v>
      </c>
      <c r="G3" s="3" t="s">
        <v>72</v>
      </c>
      <c r="H3" s="3" t="s">
        <v>9</v>
      </c>
      <c r="I3" s="3" t="n">
        <v>3</v>
      </c>
      <c r="J3" s="3" t="n">
        <v>3</v>
      </c>
      <c r="K3" s="3" t="s">
        <v>14</v>
      </c>
    </row>
    <row r="18" customFormat="false" ht="14.25" hidden="false" customHeight="false" outlineLevel="0" collapsed="false">
      <c r="P18" s="0" t="s">
        <v>17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selection pane="topLeft" activeCell="D45" activeCellId="0" sqref="D45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6.56"/>
    <col collapsed="false" customWidth="true" hidden="false" outlineLevel="0" max="2" min="2" style="0" width="41.33"/>
    <col collapsed="false" customWidth="true" hidden="false" outlineLevel="0" max="3" min="3" style="0" width="17.33"/>
    <col collapsed="false" customWidth="true" hidden="false" outlineLevel="0" max="4" min="4" style="0" width="28.56"/>
    <col collapsed="false" customWidth="true" hidden="false" outlineLevel="0" max="5" min="5" style="0" width="78.89"/>
    <col collapsed="false" customWidth="true" hidden="false" outlineLevel="0" max="11" min="11" style="0" width="3"/>
    <col collapsed="false" customWidth="true" hidden="false" outlineLevel="0" max="12" min="12" style="0" width="15.33"/>
    <col collapsed="false" customWidth="true" hidden="false" outlineLevel="0" max="14" min="14" style="0" width="10.78"/>
  </cols>
  <sheetData>
    <row r="1" customFormat="false" ht="14.25" hidden="false" customHeight="false" outlineLevel="0" collapsed="false">
      <c r="A1" s="8" t="s">
        <v>73</v>
      </c>
      <c r="B1" s="8"/>
      <c r="C1" s="8"/>
      <c r="D1" s="8"/>
      <c r="E1" s="9"/>
    </row>
    <row r="2" customFormat="false" ht="14.25" hidden="false" customHeight="false" outlineLevel="0" collapsed="false">
      <c r="A2" s="10" t="s">
        <v>74</v>
      </c>
      <c r="B2" s="10" t="s">
        <v>75</v>
      </c>
      <c r="C2" s="10" t="s">
        <v>3</v>
      </c>
      <c r="D2" s="10" t="s">
        <v>76</v>
      </c>
      <c r="K2" s="11"/>
      <c r="L2" s="11"/>
      <c r="M2" s="11"/>
      <c r="N2" s="11"/>
    </row>
    <row r="3" customFormat="false" ht="15.65" hidden="false" customHeight="false" outlineLevel="0" collapsed="false">
      <c r="A3" s="12" t="s">
        <v>77</v>
      </c>
      <c r="B3" s="13" t="str">
        <f aca="false">(ALI!A2)</f>
        <v>Conta do Cliente (Tela Cadastro do Cliente)</v>
      </c>
      <c r="C3" s="12" t="str">
        <f aca="false">(ALI!D2)</f>
        <v>Simples</v>
      </c>
      <c r="D3" s="12" t="n">
        <f aca="false">(ALI!E2)</f>
        <v>7</v>
      </c>
      <c r="K3" s="14"/>
      <c r="L3" s="15"/>
      <c r="M3" s="16"/>
      <c r="N3" s="14"/>
    </row>
    <row r="4" customFormat="false" ht="15.65" hidden="false" customHeight="false" outlineLevel="0" collapsed="false">
      <c r="A4" s="12" t="s">
        <v>77</v>
      </c>
      <c r="B4" s="13" t="str">
        <f aca="false">(ALI!A3)</f>
        <v>Saque (Tela Solicitar Saque)</v>
      </c>
      <c r="C4" s="12" t="str">
        <f aca="false">(ALI!D3)</f>
        <v>Simples</v>
      </c>
      <c r="D4" s="12" t="n">
        <f aca="false">(ALI!E3)</f>
        <v>7</v>
      </c>
      <c r="K4" s="14"/>
      <c r="L4" s="15"/>
      <c r="M4" s="16"/>
      <c r="N4" s="14"/>
    </row>
    <row r="5" customFormat="false" ht="14.25" hidden="false" customHeight="false" outlineLevel="0" collapsed="false">
      <c r="A5" s="17" t="s">
        <v>78</v>
      </c>
      <c r="B5" s="17"/>
      <c r="C5" s="17"/>
      <c r="D5" s="17" t="n">
        <f aca="false">(SUM(D3:D4))</f>
        <v>14</v>
      </c>
      <c r="K5" s="14"/>
      <c r="L5" s="15"/>
      <c r="M5" s="16"/>
      <c r="N5" s="14"/>
    </row>
    <row r="6" customFormat="false" ht="29.85" hidden="false" customHeight="false" outlineLevel="0" collapsed="false">
      <c r="A6" s="18" t="s">
        <v>79</v>
      </c>
      <c r="B6" s="13" t="str">
        <f aca="false">(AIE!A2)</f>
        <v>Confirmação de Boleto (Tela Retorno do Pagamento Boleto)</v>
      </c>
      <c r="C6" s="12" t="str">
        <f aca="false">(AIE!D2)</f>
        <v>Simples</v>
      </c>
      <c r="D6" s="12" t="n">
        <f aca="false">(AIE!E2)</f>
        <v>5</v>
      </c>
      <c r="K6" s="14"/>
      <c r="L6" s="15"/>
      <c r="M6" s="16"/>
      <c r="N6" s="14"/>
    </row>
    <row r="7" customFormat="false" ht="15.65" hidden="false" customHeight="false" outlineLevel="0" collapsed="false">
      <c r="A7" s="18" t="s">
        <v>79</v>
      </c>
      <c r="B7" s="13" t="str">
        <f aca="false">(AIE!A3)</f>
        <v>Diretório de Chaves Pix, DICT (Tela Solicitar Saque)</v>
      </c>
      <c r="C7" s="12" t="str">
        <f aca="false">(AIE!D3)</f>
        <v>Simples</v>
      </c>
      <c r="D7" s="12" t="n">
        <f aca="false">(AIE!E3)</f>
        <v>5</v>
      </c>
      <c r="K7" s="14"/>
      <c r="L7" s="15"/>
      <c r="M7" s="16"/>
      <c r="N7" s="14"/>
    </row>
    <row r="8" customFormat="false" ht="14.25" hidden="false" customHeight="false" outlineLevel="0" collapsed="false">
      <c r="A8" s="17" t="s">
        <v>80</v>
      </c>
      <c r="B8" s="17"/>
      <c r="C8" s="17"/>
      <c r="D8" s="17" t="n">
        <f aca="false">(SUM(D6:D7))</f>
        <v>10</v>
      </c>
      <c r="K8" s="14"/>
      <c r="L8" s="15"/>
      <c r="M8" s="16"/>
      <c r="N8" s="14"/>
    </row>
    <row r="9" customFormat="false" ht="15.65" hidden="false" customHeight="false" outlineLevel="0" collapsed="false">
      <c r="A9" s="18" t="s">
        <v>81</v>
      </c>
      <c r="B9" s="13" t="str">
        <f aca="false">(EE!A2)</f>
        <v>Incluir conta de cliente (Tela Cadastro do Cliente)</v>
      </c>
      <c r="C9" s="12" t="str">
        <f aca="false">(EE!D2)</f>
        <v>Complexo</v>
      </c>
      <c r="D9" s="12" t="n">
        <f aca="false">(EE!E2)</f>
        <v>6</v>
      </c>
      <c r="K9" s="14"/>
      <c r="L9" s="15"/>
      <c r="M9" s="16"/>
      <c r="N9" s="14"/>
    </row>
    <row r="10" customFormat="false" ht="15.65" hidden="false" customHeight="false" outlineLevel="0" collapsed="false">
      <c r="A10" s="18" t="s">
        <v>81</v>
      </c>
      <c r="B10" s="13" t="str">
        <f aca="false">(EE!A3)</f>
        <v>Alterar conta de cliente (Tela Minha Conta)</v>
      </c>
      <c r="C10" s="12" t="str">
        <f aca="false">(EE!D3)</f>
        <v>Simples</v>
      </c>
      <c r="D10" s="12" t="n">
        <f aca="false">(EE!E3)</f>
        <v>3</v>
      </c>
      <c r="K10" s="14"/>
      <c r="L10" s="15"/>
      <c r="M10" s="16"/>
      <c r="N10" s="14"/>
    </row>
    <row r="11" customFormat="false" ht="29.85" hidden="false" customHeight="false" outlineLevel="0" collapsed="false">
      <c r="A11" s="18" t="s">
        <v>81</v>
      </c>
      <c r="B11" s="13" t="str">
        <f aca="false">(EE!A4)</f>
        <v>Excluir conta de cliente (Tela Excluir Conta do Cliente)</v>
      </c>
      <c r="C11" s="12" t="str">
        <f aca="false">(EE!D4)</f>
        <v>Simples</v>
      </c>
      <c r="D11" s="12" t="n">
        <f aca="false">(EE!E4)</f>
        <v>3</v>
      </c>
      <c r="K11" s="14"/>
      <c r="L11" s="15"/>
      <c r="M11" s="16"/>
      <c r="N11" s="14"/>
    </row>
    <row r="12" customFormat="false" ht="15.65" hidden="false" customHeight="false" outlineLevel="0" collapsed="false">
      <c r="A12" s="18" t="s">
        <v>81</v>
      </c>
      <c r="B12" s="13" t="str">
        <f aca="false">(EE!A5)</f>
        <v>Solicitar saque via Pix (Tela Solicitar Saque)</v>
      </c>
      <c r="C12" s="12" t="str">
        <f aca="false">(EE!D5)</f>
        <v>Moderado</v>
      </c>
      <c r="D12" s="12" t="n">
        <f aca="false">(EE!E5)</f>
        <v>4</v>
      </c>
      <c r="K12" s="14"/>
      <c r="L12" s="15"/>
      <c r="M12" s="16"/>
      <c r="N12" s="14"/>
    </row>
    <row r="13" customFormat="false" ht="14.25" hidden="false" customHeight="false" outlineLevel="0" collapsed="false">
      <c r="A13" s="17" t="s">
        <v>82</v>
      </c>
      <c r="B13" s="17"/>
      <c r="C13" s="17"/>
      <c r="D13" s="17" t="n">
        <f aca="false">(SUM(D9:D12))</f>
        <v>16</v>
      </c>
      <c r="K13" s="14"/>
      <c r="L13" s="15"/>
      <c r="M13" s="16"/>
      <c r="N13" s="14"/>
    </row>
    <row r="14" customFormat="false" ht="29.85" hidden="false" customHeight="false" outlineLevel="0" collapsed="false">
      <c r="A14" s="18" t="s">
        <v>83</v>
      </c>
      <c r="B14" s="13" t="str">
        <f aca="false">(SE!A2)</f>
        <v>Listar cobranças do cliente com totais (Tela Minhas Cobranças)</v>
      </c>
      <c r="C14" s="12" t="str">
        <f aca="false">(SE!D2)</f>
        <v>Complexo</v>
      </c>
      <c r="D14" s="12" t="n">
        <f aca="false">(SE!E2)</f>
        <v>7</v>
      </c>
      <c r="K14" s="14"/>
      <c r="L14" s="15"/>
      <c r="M14" s="16"/>
      <c r="N14" s="14"/>
    </row>
    <row r="15" customFormat="false" ht="29.85" hidden="false" customHeight="false" outlineLevel="0" collapsed="false">
      <c r="A15" s="18" t="s">
        <v>83</v>
      </c>
      <c r="B15" s="13" t="str">
        <f aca="false">(SE!A3)</f>
        <v>Emitir comprovante de saque (Tela Comprovante de Saque)</v>
      </c>
      <c r="C15" s="12" t="str">
        <f aca="false">(SE!D3)</f>
        <v>Moderado</v>
      </c>
      <c r="D15" s="12" t="n">
        <f aca="false">(SE!E3)</f>
        <v>5</v>
      </c>
      <c r="K15" s="14"/>
      <c r="L15" s="15"/>
      <c r="M15" s="16"/>
      <c r="N15" s="14"/>
    </row>
    <row r="16" customFormat="false" ht="14.25" hidden="false" customHeight="false" outlineLevel="0" collapsed="false">
      <c r="A16" s="17" t="s">
        <v>84</v>
      </c>
      <c r="B16" s="17"/>
      <c r="C16" s="17"/>
      <c r="D16" s="17" t="n">
        <f aca="false">(SUM(D14:D15))</f>
        <v>12</v>
      </c>
      <c r="K16" s="14"/>
      <c r="L16" s="15"/>
      <c r="M16" s="16"/>
      <c r="N16" s="14"/>
    </row>
    <row r="17" customFormat="false" ht="15.65" hidden="false" customHeight="false" outlineLevel="0" collapsed="false">
      <c r="A17" s="18" t="s">
        <v>85</v>
      </c>
      <c r="B17" s="13" t="str">
        <f aca="false">(CE!A2)</f>
        <v>Validar chave Pix de destino (Tela Solicitar Saque)</v>
      </c>
      <c r="C17" s="12" t="str">
        <f aca="false">(CE!H2)</f>
        <v>Simples</v>
      </c>
      <c r="D17" s="12" t="n">
        <f aca="false">(CE!J2)</f>
        <v>3</v>
      </c>
      <c r="K17" s="14"/>
      <c r="L17" s="15"/>
      <c r="M17" s="16"/>
      <c r="N17" s="14"/>
    </row>
    <row r="18" customFormat="false" ht="15.65" hidden="false" customHeight="false" outlineLevel="0" collapsed="false">
      <c r="A18" s="18" t="s">
        <v>85</v>
      </c>
      <c r="B18" s="13" t="str">
        <f aca="false">(CE!A3)</f>
        <v>Listar saques recentes (Tela Solicitar Saque)</v>
      </c>
      <c r="C18" s="12" t="str">
        <f aca="false">(CE!H3)</f>
        <v>Simples</v>
      </c>
      <c r="D18" s="12" t="n">
        <f aca="false">(CE!J3)</f>
        <v>3</v>
      </c>
      <c r="K18" s="14"/>
      <c r="L18" s="15"/>
      <c r="M18" s="16"/>
      <c r="N18" s="14"/>
    </row>
    <row r="19" customFormat="false" ht="14.25" hidden="false" customHeight="false" outlineLevel="0" collapsed="false">
      <c r="A19" s="17" t="s">
        <v>86</v>
      </c>
      <c r="B19" s="17"/>
      <c r="C19" s="17"/>
      <c r="D19" s="17" t="n">
        <f aca="false">(SUM(D17:D18))</f>
        <v>6</v>
      </c>
      <c r="K19" s="19"/>
      <c r="L19" s="15"/>
      <c r="M19" s="20"/>
      <c r="N19" s="15"/>
    </row>
    <row r="20" customFormat="false" ht="18" hidden="false" customHeight="true" outlineLevel="0" collapsed="false">
      <c r="A20" s="17" t="s">
        <v>87</v>
      </c>
      <c r="B20" s="17" t="s">
        <v>88</v>
      </c>
      <c r="C20" s="17"/>
      <c r="D20" s="17" t="n">
        <f aca="false">(D5+D8+D13+D16+D19)</f>
        <v>58</v>
      </c>
    </row>
    <row r="24" customFormat="false" ht="14.25" hidden="false" customHeight="false" outlineLevel="0" collapsed="false">
      <c r="A24" s="21" t="s">
        <v>89</v>
      </c>
      <c r="B24" s="21"/>
      <c r="C24" s="21"/>
      <c r="D24" s="21"/>
      <c r="E24" s="21"/>
    </row>
    <row r="25" customFormat="false" ht="14.25" hidden="false" customHeight="false" outlineLevel="0" collapsed="false">
      <c r="A25" s="22" t="s">
        <v>90</v>
      </c>
      <c r="B25" s="22" t="s">
        <v>91</v>
      </c>
      <c r="C25" s="22" t="s">
        <v>92</v>
      </c>
      <c r="D25" s="22" t="s">
        <v>93</v>
      </c>
      <c r="E25" s="22" t="s">
        <v>94</v>
      </c>
    </row>
    <row r="26" customFormat="false" ht="50.25" hidden="false" customHeight="true" outlineLevel="0" collapsed="false">
      <c r="A26" s="23" t="n">
        <v>1</v>
      </c>
      <c r="B26" s="24" t="s">
        <v>95</v>
      </c>
      <c r="C26" s="25" t="n">
        <v>4</v>
      </c>
      <c r="D26" s="23" t="str">
        <f aca="false">CHOOSE(C26+1,"Nenhuma","Mínima","Moderada","Média","Significativa","Grande")</f>
        <v>Significativa</v>
      </c>
      <c r="E26" s="24" t="s">
        <v>96</v>
      </c>
    </row>
    <row r="27" customFormat="false" ht="36.75" hidden="false" customHeight="true" outlineLevel="0" collapsed="false">
      <c r="A27" s="23" t="n">
        <v>2</v>
      </c>
      <c r="B27" s="24" t="s">
        <v>97</v>
      </c>
      <c r="C27" s="25" t="n">
        <v>2</v>
      </c>
      <c r="D27" s="23" t="str">
        <f aca="false">CHOOSE(C27+1,"Nenhuma","Mínima","Moderada","Média","Significativa","Grande")</f>
        <v>Moderada</v>
      </c>
      <c r="E27" s="24" t="s">
        <v>98</v>
      </c>
    </row>
    <row r="28" customFormat="false" ht="50.25" hidden="false" customHeight="true" outlineLevel="0" collapsed="false">
      <c r="A28" s="23" t="n">
        <v>3</v>
      </c>
      <c r="B28" s="24" t="s">
        <v>99</v>
      </c>
      <c r="C28" s="25" t="n">
        <v>3</v>
      </c>
      <c r="D28" s="23" t="str">
        <f aca="false">CHOOSE(C28+1,"Nenhuma","Mínima","Moderada","Média","Significativa","Grande")</f>
        <v>Média</v>
      </c>
      <c r="E28" s="24" t="s">
        <v>100</v>
      </c>
    </row>
    <row r="29" customFormat="false" ht="36.75" hidden="false" customHeight="true" outlineLevel="0" collapsed="false">
      <c r="A29" s="23" t="n">
        <v>4</v>
      </c>
      <c r="B29" s="24" t="s">
        <v>101</v>
      </c>
      <c r="C29" s="25" t="n">
        <v>2</v>
      </c>
      <c r="D29" s="23" t="str">
        <f aca="false">CHOOSE(C29+1,"Nenhuma","Mínima","Moderada","Média","Significativa","Grande")</f>
        <v>Moderada</v>
      </c>
      <c r="E29" s="24" t="s">
        <v>102</v>
      </c>
    </row>
    <row r="30" customFormat="false" ht="50.25" hidden="false" customHeight="true" outlineLevel="0" collapsed="false">
      <c r="A30" s="23" t="n">
        <v>5</v>
      </c>
      <c r="B30" s="24" t="s">
        <v>103</v>
      </c>
      <c r="C30" s="25" t="n">
        <v>3</v>
      </c>
      <c r="D30" s="23" t="str">
        <f aca="false">CHOOSE(C30+1,"Nenhuma","Mínima","Moderada","Média","Significativa","Grande")</f>
        <v>Média</v>
      </c>
      <c r="E30" s="24" t="s">
        <v>104</v>
      </c>
    </row>
    <row r="31" customFormat="false" ht="50.25" hidden="false" customHeight="true" outlineLevel="0" collapsed="false">
      <c r="A31" s="23" t="n">
        <v>6</v>
      </c>
      <c r="B31" s="24" t="s">
        <v>105</v>
      </c>
      <c r="C31" s="25" t="n">
        <v>5</v>
      </c>
      <c r="D31" s="23" t="str">
        <f aca="false">CHOOSE(C31+1,"Nenhuma","Mínima","Moderada","Média","Significativa","Grande")</f>
        <v>Grande</v>
      </c>
      <c r="E31" s="24" t="s">
        <v>106</v>
      </c>
    </row>
    <row r="32" customFormat="false" ht="50.25" hidden="false" customHeight="true" outlineLevel="0" collapsed="false">
      <c r="A32" s="23" t="n">
        <v>7</v>
      </c>
      <c r="B32" s="24" t="s">
        <v>107</v>
      </c>
      <c r="C32" s="25" t="n">
        <v>4</v>
      </c>
      <c r="D32" s="23" t="str">
        <f aca="false">CHOOSE(C32+1,"Nenhuma","Mínima","Moderada","Média","Significativa","Grande")</f>
        <v>Significativa</v>
      </c>
      <c r="E32" s="24" t="s">
        <v>108</v>
      </c>
    </row>
    <row r="33" customFormat="false" ht="50.25" hidden="false" customHeight="true" outlineLevel="0" collapsed="false">
      <c r="A33" s="23" t="n">
        <v>8</v>
      </c>
      <c r="B33" s="24" t="s">
        <v>109</v>
      </c>
      <c r="C33" s="25" t="n">
        <v>4</v>
      </c>
      <c r="D33" s="23" t="str">
        <f aca="false">CHOOSE(C33+1,"Nenhuma","Mínima","Moderada","Média","Significativa","Grande")</f>
        <v>Significativa</v>
      </c>
      <c r="E33" s="24" t="s">
        <v>110</v>
      </c>
    </row>
    <row r="34" customFormat="false" ht="50.25" hidden="false" customHeight="true" outlineLevel="0" collapsed="false">
      <c r="A34" s="23" t="n">
        <v>9</v>
      </c>
      <c r="B34" s="24" t="s">
        <v>111</v>
      </c>
      <c r="C34" s="25" t="n">
        <v>3</v>
      </c>
      <c r="D34" s="23" t="str">
        <f aca="false">CHOOSE(C34+1,"Nenhuma","Mínima","Moderada","Média","Significativa","Grande")</f>
        <v>Média</v>
      </c>
      <c r="E34" s="24" t="s">
        <v>112</v>
      </c>
    </row>
    <row r="35" customFormat="false" ht="36.75" hidden="false" customHeight="true" outlineLevel="0" collapsed="false">
      <c r="A35" s="23" t="n">
        <v>10</v>
      </c>
      <c r="B35" s="24" t="s">
        <v>113</v>
      </c>
      <c r="C35" s="25" t="n">
        <v>2</v>
      </c>
      <c r="D35" s="23" t="str">
        <f aca="false">CHOOSE(C35+1,"Nenhuma","Mínima","Moderada","Média","Significativa","Grande")</f>
        <v>Moderada</v>
      </c>
      <c r="E35" s="24" t="s">
        <v>114</v>
      </c>
    </row>
    <row r="36" customFormat="false" ht="50.25" hidden="false" customHeight="true" outlineLevel="0" collapsed="false">
      <c r="A36" s="23" t="n">
        <v>11</v>
      </c>
      <c r="B36" s="24" t="s">
        <v>115</v>
      </c>
      <c r="C36" s="25" t="n">
        <v>2</v>
      </c>
      <c r="D36" s="23" t="str">
        <f aca="false">CHOOSE(C36+1,"Nenhuma","Mínima","Moderada","Média","Significativa","Grande")</f>
        <v>Moderada</v>
      </c>
      <c r="E36" s="24" t="s">
        <v>116</v>
      </c>
    </row>
    <row r="37" customFormat="false" ht="50.25" hidden="false" customHeight="true" outlineLevel="0" collapsed="false">
      <c r="A37" s="23" t="n">
        <v>12</v>
      </c>
      <c r="B37" s="24" t="s">
        <v>117</v>
      </c>
      <c r="C37" s="25" t="n">
        <v>3</v>
      </c>
      <c r="D37" s="23" t="str">
        <f aca="false">CHOOSE(C37+1,"Nenhuma","Mínima","Moderada","Média","Significativa","Grande")</f>
        <v>Média</v>
      </c>
      <c r="E37" s="24" t="s">
        <v>118</v>
      </c>
    </row>
    <row r="38" customFormat="false" ht="36.75" hidden="false" customHeight="true" outlineLevel="0" collapsed="false">
      <c r="A38" s="23" t="n">
        <v>13</v>
      </c>
      <c r="B38" s="24" t="s">
        <v>119</v>
      </c>
      <c r="C38" s="25" t="n">
        <v>3</v>
      </c>
      <c r="D38" s="23" t="str">
        <f aca="false">CHOOSE(C38+1,"Nenhuma","Mínima","Moderada","Média","Significativa","Grande")</f>
        <v>Média</v>
      </c>
      <c r="E38" s="24" t="s">
        <v>120</v>
      </c>
    </row>
    <row r="39" customFormat="false" ht="50.25" hidden="false" customHeight="true" outlineLevel="0" collapsed="false">
      <c r="A39" s="23" t="n">
        <v>14</v>
      </c>
      <c r="B39" s="24" t="s">
        <v>121</v>
      </c>
      <c r="C39" s="25" t="n">
        <v>2</v>
      </c>
      <c r="D39" s="23" t="str">
        <f aca="false">CHOOSE(C39+1,"Nenhuma","Mínima","Moderada","Média","Significativa","Grande")</f>
        <v>Moderada</v>
      </c>
      <c r="E39" s="24" t="s">
        <v>122</v>
      </c>
    </row>
    <row r="40" customFormat="false" ht="27" hidden="false" customHeight="true" outlineLevel="0" collapsed="false">
      <c r="A40" s="26" t="s">
        <v>123</v>
      </c>
      <c r="B40" s="27" t="s">
        <v>124</v>
      </c>
      <c r="C40" s="28" t="n">
        <f aca="false">SUM(C26:C39)</f>
        <v>42</v>
      </c>
      <c r="D40" s="27"/>
      <c r="E40" s="27"/>
    </row>
    <row r="43" customFormat="false" ht="14.25" hidden="false" customHeight="false" outlineLevel="0" collapsed="false">
      <c r="A43" s="21" t="s">
        <v>125</v>
      </c>
      <c r="B43" s="21"/>
      <c r="C43" s="21"/>
      <c r="D43" s="9"/>
      <c r="E43" s="9"/>
    </row>
    <row r="44" customFormat="false" ht="14.25" hidden="false" customHeight="false" outlineLevel="0" collapsed="false">
      <c r="A44" s="22" t="s">
        <v>126</v>
      </c>
      <c r="B44" s="22" t="s">
        <v>127</v>
      </c>
      <c r="C44" s="22" t="s">
        <v>128</v>
      </c>
    </row>
    <row r="45" customFormat="false" ht="14.25" hidden="false" customHeight="false" outlineLevel="0" collapsed="false">
      <c r="A45" s="24" t="s">
        <v>129</v>
      </c>
      <c r="B45" s="24" t="s">
        <v>130</v>
      </c>
      <c r="C45" s="29" t="n">
        <f aca="false">(C40*0.01)+0.65</f>
        <v>1.07</v>
      </c>
    </row>
    <row r="46" customFormat="false" ht="14.25" hidden="false" customHeight="false" outlineLevel="0" collapsed="false">
      <c r="A46" s="24" t="s">
        <v>131</v>
      </c>
      <c r="B46" s="24" t="s">
        <v>132</v>
      </c>
      <c r="C46" s="29" t="n">
        <f aca="false">D20*C45</f>
        <v>62.06</v>
      </c>
    </row>
    <row r="49" customFormat="false" ht="14.25" hidden="false" customHeight="false" outlineLevel="0" collapsed="false">
      <c r="A49" s="21" t="s">
        <v>133</v>
      </c>
      <c r="B49" s="21"/>
      <c r="C49" s="21"/>
      <c r="D49" s="21"/>
      <c r="E49" s="9"/>
    </row>
    <row r="50" customFormat="false" ht="14.25" hidden="false" customHeight="false" outlineLevel="0" collapsed="false">
      <c r="A50" s="22" t="s">
        <v>134</v>
      </c>
      <c r="B50" s="22" t="s">
        <v>127</v>
      </c>
      <c r="C50" s="22" t="s">
        <v>128</v>
      </c>
      <c r="D50" s="22" t="s">
        <v>135</v>
      </c>
    </row>
    <row r="51" customFormat="false" ht="14.25" hidden="false" customHeight="false" outlineLevel="0" collapsed="false">
      <c r="A51" s="24" t="s">
        <v>136</v>
      </c>
      <c r="B51" s="24" t="s">
        <v>137</v>
      </c>
      <c r="C51" s="25" t="n">
        <v>10</v>
      </c>
      <c r="D51" s="23" t="s">
        <v>138</v>
      </c>
    </row>
    <row r="52" customFormat="false" ht="14.25" hidden="false" customHeight="false" outlineLevel="0" collapsed="false">
      <c r="A52" s="24" t="s">
        <v>139</v>
      </c>
      <c r="B52" s="24" t="s">
        <v>140</v>
      </c>
      <c r="C52" s="25" t="n">
        <v>4</v>
      </c>
      <c r="D52" s="23" t="s">
        <v>141</v>
      </c>
    </row>
    <row r="53" customFormat="false" ht="14.25" hidden="false" customHeight="false" outlineLevel="0" collapsed="false">
      <c r="A53" s="24" t="s">
        <v>142</v>
      </c>
      <c r="B53" s="24" t="s">
        <v>143</v>
      </c>
      <c r="C53" s="25" t="n">
        <v>3</v>
      </c>
      <c r="D53" s="23" t="s">
        <v>144</v>
      </c>
    </row>
    <row r="54" customFormat="false" ht="14.25" hidden="false" customHeight="false" outlineLevel="0" collapsed="false">
      <c r="A54" s="24" t="s">
        <v>145</v>
      </c>
      <c r="B54" s="24" t="s">
        <v>146</v>
      </c>
      <c r="C54" s="30" t="n">
        <v>25</v>
      </c>
      <c r="D54" s="23" t="s">
        <v>147</v>
      </c>
    </row>
    <row r="55" customFormat="false" ht="14.25" hidden="false" customHeight="false" outlineLevel="0" collapsed="false">
      <c r="A55" s="27" t="s">
        <v>148</v>
      </c>
      <c r="B55" s="27" t="s">
        <v>149</v>
      </c>
      <c r="C55" s="31" t="n">
        <f aca="false">C46*C51</f>
        <v>620.6</v>
      </c>
      <c r="D55" s="32" t="s">
        <v>150</v>
      </c>
    </row>
    <row r="56" customFormat="false" ht="14.25" hidden="false" customHeight="false" outlineLevel="0" collapsed="false">
      <c r="A56" s="27" t="s">
        <v>151</v>
      </c>
      <c r="B56" s="27" t="s">
        <v>152</v>
      </c>
      <c r="C56" s="31" t="n">
        <f aca="false">C55/(C53*C52)</f>
        <v>51.7166666666667</v>
      </c>
      <c r="D56" s="32" t="s">
        <v>153</v>
      </c>
    </row>
    <row r="57" customFormat="false" ht="14.25" hidden="false" customHeight="false" outlineLevel="0" collapsed="false">
      <c r="A57" s="27" t="s">
        <v>151</v>
      </c>
      <c r="B57" s="27" t="s">
        <v>154</v>
      </c>
      <c r="C57" s="33" t="n">
        <f aca="false">C56/21</f>
        <v>2.46269841269841</v>
      </c>
      <c r="D57" s="32" t="s">
        <v>155</v>
      </c>
    </row>
    <row r="58" customFormat="false" ht="14.25" hidden="false" customHeight="false" outlineLevel="0" collapsed="false">
      <c r="A58" s="27" t="s">
        <v>156</v>
      </c>
      <c r="B58" s="27" t="s">
        <v>157</v>
      </c>
      <c r="C58" s="34" t="n">
        <f aca="false">C55*C54</f>
        <v>15515</v>
      </c>
      <c r="D58" s="32" t="s">
        <v>158</v>
      </c>
    </row>
  </sheetData>
  <mergeCells count="4">
    <mergeCell ref="A1:D1"/>
    <mergeCell ref="A24:E24"/>
    <mergeCell ref="A43:C43"/>
    <mergeCell ref="A49:D4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2026-10-21T18:02:39Z</dcterms:created>
  <dc:creator>João Pedro Novak Rausis</dc:creator>
  <dc:description/>
  <dc:language>en-US</dc:language>
  <cp:lastModifiedBy>João Pedro Novak Rausis</cp:lastModifiedBy>
  <dcterms:modified xsi:type="dcterms:W3CDTF">2026-10-21T21:44:42Z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