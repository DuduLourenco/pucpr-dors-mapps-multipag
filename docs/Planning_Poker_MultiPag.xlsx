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 Poker" sheetId="1" state="visible" r:id="rId3"/>
    <sheet name="Avaliação da outra equipe" sheetId="2" state="visible" r:id="rId4"/>
    <sheet name="Sugestões recebid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<sst xmlns="http://schemas.openxmlformats.org/spreadsheetml/2006/main" count="199" uniqueCount="128">
  <si>
    <t xml:space="preserve">Planning Poker: MultiPag</t>
  </si>
  <si>
    <t xml:space="preserve">Equipe: Eduardo Lourenço da Silva, Gabriel Pereira Lugon Moulin e João Pedro Novak Rausis</t>
  </si>
  <si>
    <t xml:space="preserve">Premissas de tempo</t>
  </si>
  <si>
    <t xml:space="preserve">Horas de trabalho por ponto</t>
  </si>
  <si>
    <t xml:space="preserve">h/ponto</t>
  </si>
  <si>
    <t xml:space="preserve">Horas de trabalho por pessoa por dia</t>
  </si>
  <si>
    <t xml:space="preserve">h/dia</t>
  </si>
  <si>
    <t xml:space="preserve">ID</t>
  </si>
  <si>
    <t xml:space="preserve">Requisito funcional</t>
  </si>
  <si>
    <t xml:space="preserve">Origem</t>
  </si>
  <si>
    <t xml:space="preserve">Eduardo</t>
  </si>
  <si>
    <t xml:space="preserve">Gabriel</t>
  </si>
  <si>
    <t xml:space="preserve">João Pedro</t>
  </si>
  <si>
    <t xml:space="preserve">Consenso</t>
  </si>
  <si>
    <t xml:space="preserve">Justificativa do consenso</t>
  </si>
  <si>
    <t xml:space="preserve">Complexidade</t>
  </si>
  <si>
    <t xml:space="preserve">Tempo (horas)</t>
  </si>
  <si>
    <t xml:space="preserve">Tempo (dias)</t>
  </si>
  <si>
    <t xml:space="preserve">RF01</t>
  </si>
  <si>
    <t xml:space="preserve">Cadastro do business com nome/responsável, e-mail, CPF, data de nascimento e senha</t>
  </si>
  <si>
    <t xml:space="preserve">Definição do projeto</t>
  </si>
  <si>
    <t xml:space="preserve">Wizard de 3 etapas, consulta de CPF e senha com hash (RNF01).</t>
  </si>
  <si>
    <t xml:space="preserve">RF02</t>
  </si>
  <si>
    <t xml:space="preserve">Login do business com e-mail e senha</t>
  </si>
  <si>
    <t xml:space="preserve">Autenticação com token, expiração e tratamento de erro.</t>
  </si>
  <si>
    <t xml:space="preserve">RF03</t>
  </si>
  <si>
    <t xml:space="preserve">Criar cobrança informando valor, descrição e cliente destinatário</t>
  </si>
  <si>
    <t xml:space="preserve">Wizard de 5 etapas que grava a cobrança e os métodos escolhidos.</t>
  </si>
  <si>
    <t xml:space="preserve">RF04</t>
  </si>
  <si>
    <t xml:space="preserve">Configurar, por cobrança, os métodos de pagamento aceitos (Pix, cartão, boleto, cripto)</t>
  </si>
  <si>
    <t xml:space="preserve">Seleção com no mínimo um método, gravada em tabela própria.</t>
  </si>
  <si>
    <t xml:space="preserve">RF05</t>
  </si>
  <si>
    <t xml:space="preserve">Gerar um link único de pagamento para cada cobrança</t>
  </si>
  <si>
    <t xml:space="preserve">Identificador único e montagem da URL.</t>
  </si>
  <si>
    <t xml:space="preserve">RF06</t>
  </si>
  <si>
    <t xml:space="preserve">Enviar/disponibilizar ao cliente o link da cobrança</t>
  </si>
  <si>
    <t xml:space="preserve">Sem envio automático nesta versão, só copiar o link.</t>
  </si>
  <si>
    <t xml:space="preserve">RF07</t>
  </si>
  <si>
    <t xml:space="preserve">Visualizar o saldo disponível em reais</t>
  </si>
  <si>
    <t xml:space="preserve">Exibição simples, mas depende da consistência do saldo (RNF07).</t>
  </si>
  <si>
    <t xml:space="preserve">RF08</t>
  </si>
  <si>
    <t xml:space="preserve">Consultar o extrato de movimentações (pagamentos recebidos)</t>
  </si>
  <si>
    <t xml:space="preserve">Filtros, paginação e totais do período. Sem exportação.</t>
  </si>
  <si>
    <t xml:space="preserve">RF09</t>
  </si>
  <si>
    <t xml:space="preserve">Solicitar saque do saldo disponível, exclusivamente via Pix</t>
  </si>
  <si>
    <t xml:space="preserve">Validação de saldo e de chave Pix e registro do saque. A transferência é simulada.</t>
  </si>
  <si>
    <t xml:space="preserve">RF10</t>
  </si>
  <si>
    <t xml:space="preserve">Cliente acessar e visualizar a cobrança a partir do link recebido</t>
  </si>
  <si>
    <t xml:space="preserve">Consulta pública com tratamento de link inválido.</t>
  </si>
  <si>
    <t xml:space="preserve">RF11</t>
  </si>
  <si>
    <t xml:space="preserve">Cliente pagar a cobrança como convidado, informando o CPF</t>
  </si>
  <si>
    <t xml:space="preserve">Validação do CPF e vínculo do pagamento pelo CPF.</t>
  </si>
  <si>
    <t xml:space="preserve">RF12</t>
  </si>
  <si>
    <t xml:space="preserve">Cliente pagar por qualquer método habilitado pelo business (Pix, cartão, boleto ou cripto)</t>
  </si>
  <si>
    <t xml:space="preserve">Quatro integrações. Passa de 13, por isso 20, e vale quebrar em uma tarefa por método.</t>
  </si>
  <si>
    <t xml:space="preserve">RF13</t>
  </si>
  <si>
    <t xml:space="preserve">Cadastro opcional de conta de cliente (e-mail, CPF e senha)</t>
  </si>
  <si>
    <t xml:space="preserve">Formulário curto com validação de CPF e e-mail.</t>
  </si>
  <si>
    <t xml:space="preserve">RF14</t>
  </si>
  <si>
    <t xml:space="preserve">Cliente logado visualizar as cobranças vinculadas ao seu CPF, de qualquer business</t>
  </si>
  <si>
    <t xml:space="preserve">Lista com filtros e totais pago e pendente.</t>
  </si>
  <si>
    <t xml:space="preserve">RF15</t>
  </si>
  <si>
    <t xml:space="preserve">Atualizar o status da cobrança automaticamente após a confirmação do pagamento</t>
  </si>
  <si>
    <t xml:space="preserve">Webhook com atualização de status, saldo e extrato, tratando duplicidade (RNF07).</t>
  </si>
  <si>
    <t xml:space="preserve">RF16</t>
  </si>
  <si>
    <t xml:space="preserve">Business alterar os dados da sua conta</t>
  </si>
  <si>
    <t xml:space="preserve">Proposto</t>
  </si>
  <si>
    <t xml:space="preserve">Edição de poucos campos com confirmação da senha atual.</t>
  </si>
  <si>
    <t xml:space="preserve">RF17</t>
  </si>
  <si>
    <t xml:space="preserve">Business excluir a própria conta</t>
  </si>
  <si>
    <t xml:space="preserve">Confirmação com senha e bloqueio se houver pendências. O histórico fica para a auditoria.</t>
  </si>
  <si>
    <t xml:space="preserve">RF18</t>
  </si>
  <si>
    <t xml:space="preserve">Business alterar uma cobrança pendente</t>
  </si>
  <si>
    <t xml:space="preserve">Reaproveita o fluxo de criação, com a regra de só editar pendente.</t>
  </si>
  <si>
    <t xml:space="preserve">RF19</t>
  </si>
  <si>
    <t xml:space="preserve">Business cancelar uma cobrança pendente</t>
  </si>
  <si>
    <t xml:space="preserve">Troca de status e bloqueio do link, com a checagem de pagamento iniciado.</t>
  </si>
  <si>
    <t xml:space="preserve">RF20</t>
  </si>
  <si>
    <t xml:space="preserve">Cliente alterar os dados da sua conta</t>
  </si>
  <si>
    <t xml:space="preserve">Edição de e-mail e senha com a senha atual.</t>
  </si>
  <si>
    <t xml:space="preserve">RF21</t>
  </si>
  <si>
    <t xml:space="preserve">Cliente excluir a própria conta (LGPD)</t>
  </si>
  <si>
    <t xml:space="preserve">Confirmação com senha e remoção dos dados da conta, mantendo as cobranças (LGPD, RNF08).</t>
  </si>
  <si>
    <t xml:space="preserve">RF22</t>
  </si>
  <si>
    <t xml:space="preserve">Cliente consultar o resultado do pagamento</t>
  </si>
  <si>
    <t xml:space="preserve">Consulta de leitura com poucos campos.</t>
  </si>
  <si>
    <t xml:space="preserve">RF23</t>
  </si>
  <si>
    <t xml:space="preserve">Business listar as cobranças que emitiu</t>
  </si>
  <si>
    <t xml:space="preserve">Lista com filtro, paginação e CPF mascarado.</t>
  </si>
  <si>
    <t xml:space="preserve">RF24</t>
  </si>
  <si>
    <t xml:space="preserve">Business consultar os detalhes de uma cobrança</t>
  </si>
  <si>
    <t xml:space="preserve">Consulta simples de uma cobrança e do seu pagamento.</t>
  </si>
  <si>
    <t xml:space="preserve">RF25</t>
  </si>
  <si>
    <t xml:space="preserve">Validar a chave Pix de destino do saque no DICT</t>
  </si>
  <si>
    <t xml:space="preserve">?</t>
  </si>
  <si>
    <t xml:space="preserve">Integração com o DICT e tratamento de erro.</t>
  </si>
  <si>
    <t xml:space="preserve">RF26</t>
  </si>
  <si>
    <t xml:space="preserve">Business listar os saques recentes</t>
  </si>
  <si>
    <t xml:space="preserve">Lista paginada com valor, datas e status.</t>
  </si>
  <si>
    <t xml:space="preserve">Total</t>
  </si>
  <si>
    <t xml:space="preserve">Prazo da equipe (3 pessoas), em dias de trabalho</t>
  </si>
  <si>
    <t xml:space="preserve">Atividade 2: avaliação da nossa lista pela outra equipe</t>
  </si>
  <si>
    <t xml:space="preserve">Equipe avaliadora:</t>
  </si>
  <si>
    <t xml:space="preserve">Equipe 12 - WorkForge</t>
  </si>
  <si>
    <t xml:space="preserve">Requisito</t>
  </si>
  <si>
    <t xml:space="preserve">Carta da Equipe 12</t>
  </si>
  <si>
    <t xml:space="preserve">Dúvida ou sugestão</t>
  </si>
  <si>
    <t xml:space="preserve">O cadastro parece só um formulário, 3 não seria suficiente?</t>
  </si>
  <si>
    <t xml:space="preserve">Tem itens, cliente e vários métodos de pagamento, parece mais que 8.</t>
  </si>
  <si>
    <t xml:space="preserve">Sem dúvidas.</t>
  </si>
  <si>
    <t xml:space="preserve">O extrato tem exportação?</t>
  </si>
  <si>
    <t xml:space="preserve">A transferência para o banco é real?</t>
  </si>
  <si>
    <t xml:space="preserve">Se o DICT demorar ou ficar fora do ar, o que acontece?</t>
  </si>
  <si>
    <t xml:space="preserve">Atividade 2: sugestões recebidas da outra equipe</t>
  </si>
  <si>
    <t xml:space="preserve">Carta atual (consenso)</t>
  </si>
  <si>
    <t xml:space="preserve">Carta sugerida</t>
  </si>
  <si>
    <t xml:space="preserve">Dúvida ou justificativa recebida</t>
  </si>
  <si>
    <t xml:space="preserve">Acatou?</t>
  </si>
  <si>
    <t xml:space="preserve">Carta final</t>
  </si>
  <si>
    <t xml:space="preserve">Decisão da equipe</t>
  </si>
  <si>
    <t xml:space="preserve">Não</t>
  </si>
  <si>
    <t xml:space="preserve">O cadastro tem 3 etapas, consulta de CPF e senha com hash. Mantemos 5.</t>
  </si>
  <si>
    <t xml:space="preserve">O fluxo tem 5 etapas, mas as regras já são conhecidas. Mantemos 8.</t>
  </si>
  <si>
    <t xml:space="preserve">Sim</t>
  </si>
  <si>
    <t xml:space="preserve">Carta igual à nossa, sem mudança.</t>
  </si>
  <si>
    <t xml:space="preserve">Não tem exportação nesta versão, só filtros, paginação e totais.</t>
  </si>
  <si>
    <t xml:space="preserve">A transferência é simulada. Só entram a validação do saldo e da chave e o registro do saque.</t>
  </si>
  <si>
    <t xml:space="preserve">Acatamos. O tratamento de espera e de nova tentativa dá mais trabalho do que pensamos.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</si>
</sst>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8" min="8" style="0" width="46"/>
    <col collapsed="false" customWidth="true" hidden="false" outlineLevel="0" max="9" min="9" style="0" width="13"/>
    <col collapsed="false" customWidth="true" hidden="false" outlineLevel="0" max="11" min="10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2" t="s">
        <v>3</v>
      </c>
      <c r="C5" s="4" t="n">
        <v>8</v>
      </c>
      <c r="D5" s="5" t="s">
        <v>4</v>
      </c>
    </row>
    <row r="6" customFormat="false" ht="15" hidden="false" customHeight="false" outlineLevel="0" collapsed="false">
      <c r="B6" s="2" t="s">
        <v>5</v>
      </c>
      <c r="C6" s="4" t="n">
        <v>4</v>
      </c>
      <c r="D6" s="5" t="s">
        <v>6</v>
      </c>
    </row>
    <row r="8" customFormat="false" ht="24" hidden="false" customHeight="true" outlineLevel="0" collapsed="false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</row>
    <row r="9" customFormat="false" ht="31.5" hidden="false" customHeight="true" outlineLevel="0" collapsed="false">
      <c r="A9" s="7" t="s">
        <v>18</v>
      </c>
      <c r="B9" s="8" t="s">
        <v>19</v>
      </c>
      <c r="C9" s="8" t="s">
        <v>20</v>
      </c>
      <c r="D9" s="7" t="n">
        <v>5</v>
      </c>
      <c r="E9" s="7" t="n">
        <v>5</v>
      </c>
      <c r="F9" s="7" t="n">
        <v>3</v>
      </c>
      <c r="G9" s="9" t="n">
        <v>5</v>
      </c>
      <c r="H9" s="8" t="s">
        <v>21</v>
      </c>
      <c r="I9" s="7" t="str">
        <f aca="false">IF(G9="","A definir",IF(G9&lt;=2,"Baixa",IF(G9&lt;=5,"Média",IF(G9&lt;=13,"Alta","Muito alta"))))</f>
        <v>Média</v>
      </c>
      <c r="J9" s="10" t="n">
        <f aca="false">IF(G9="","",G9*$C$5)</f>
        <v>40</v>
      </c>
      <c r="K9" s="11" t="n">
        <f aca="false">IF(G9="","",J9/$C$6)</f>
        <v>10</v>
      </c>
    </row>
    <row r="10" customFormat="false" ht="31.5" hidden="false" customHeight="true" outlineLevel="0" collapsed="false">
      <c r="A10" s="7" t="s">
        <v>22</v>
      </c>
      <c r="B10" s="8" t="s">
        <v>23</v>
      </c>
      <c r="C10" s="8" t="s">
        <v>20</v>
      </c>
      <c r="D10" s="7" t="n">
        <v>3</v>
      </c>
      <c r="E10" s="7" t="n">
        <v>3</v>
      </c>
      <c r="F10" s="7" t="n">
        <v>2</v>
      </c>
      <c r="G10" s="9" t="n">
        <v>3</v>
      </c>
      <c r="H10" s="8" t="s">
        <v>24</v>
      </c>
      <c r="I10" s="7" t="str">
        <f aca="false">IF(G10="","A definir",IF(G10&lt;=2,"Baixa",IF(G10&lt;=5,"Média",IF(G10&lt;=13,"Alta","Muito alta"))))</f>
        <v>Média</v>
      </c>
      <c r="J10" s="10" t="n">
        <f aca="false">IF(G10="","",G10*$C$5)</f>
        <v>24</v>
      </c>
      <c r="K10" s="11" t="n">
        <f aca="false">IF(G10="","",J10/$C$6)</f>
        <v>6</v>
      </c>
    </row>
    <row r="11" customFormat="false" ht="31.5" hidden="false" customHeight="true" outlineLevel="0" collapsed="false">
      <c r="A11" s="7" t="s">
        <v>25</v>
      </c>
      <c r="B11" s="8" t="s">
        <v>26</v>
      </c>
      <c r="C11" s="8" t="s">
        <v>20</v>
      </c>
      <c r="D11" s="7" t="n">
        <v>8</v>
      </c>
      <c r="E11" s="7" t="n">
        <v>8</v>
      </c>
      <c r="F11" s="7" t="n">
        <v>5</v>
      </c>
      <c r="G11" s="9" t="n">
        <v>8</v>
      </c>
      <c r="H11" s="8" t="s">
        <v>27</v>
      </c>
      <c r="I11" s="7" t="str">
        <f aca="false">IF(G11="","A definir",IF(G11&lt;=2,"Baixa",IF(G11&lt;=5,"Média",IF(G11&lt;=13,"Alta","Muito alta"))))</f>
        <v>Alta</v>
      </c>
      <c r="J11" s="10" t="n">
        <f aca="false">IF(G11="","",G11*$C$5)</f>
        <v>64</v>
      </c>
      <c r="K11" s="11" t="n">
        <f aca="false">IF(G11="","",J11/$C$6)</f>
        <v>16</v>
      </c>
    </row>
    <row r="12" customFormat="false" ht="31.5" hidden="false" customHeight="true" outlineLevel="0" collapsed="false">
      <c r="A12" s="7" t="s">
        <v>28</v>
      </c>
      <c r="B12" s="8" t="s">
        <v>29</v>
      </c>
      <c r="C12" s="8" t="s">
        <v>20</v>
      </c>
      <c r="D12" s="7" t="n">
        <v>2</v>
      </c>
      <c r="E12" s="7" t="n">
        <v>3</v>
      </c>
      <c r="F12" s="7" t="n">
        <v>3</v>
      </c>
      <c r="G12" s="9" t="n">
        <v>3</v>
      </c>
      <c r="H12" s="8" t="s">
        <v>30</v>
      </c>
      <c r="I12" s="7" t="str">
        <f aca="false">IF(G12="","A definir",IF(G12&lt;=2,"Baixa",IF(G12&lt;=5,"Média",IF(G12&lt;=13,"Alta","Muito alta"))))</f>
        <v>Média</v>
      </c>
      <c r="J12" s="10" t="n">
        <f aca="false">IF(G12="","",G12*$C$5)</f>
        <v>24</v>
      </c>
      <c r="K12" s="11" t="n">
        <f aca="false">IF(G12="","",J12/$C$6)</f>
        <v>6</v>
      </c>
    </row>
    <row r="13" customFormat="false" ht="31.5" hidden="false" customHeight="true" outlineLevel="0" collapsed="false">
      <c r="A13" s="7" t="s">
        <v>31</v>
      </c>
      <c r="B13" s="8" t="s">
        <v>32</v>
      </c>
      <c r="C13" s="8" t="s">
        <v>20</v>
      </c>
      <c r="D13" s="7" t="n">
        <v>2</v>
      </c>
      <c r="E13" s="7" t="n">
        <v>2</v>
      </c>
      <c r="F13" s="7" t="n">
        <v>2</v>
      </c>
      <c r="G13" s="9" t="n">
        <v>2</v>
      </c>
      <c r="H13" s="8" t="s">
        <v>33</v>
      </c>
      <c r="I13" s="7" t="str">
        <f aca="false">IF(G13="","A definir",IF(G13&lt;=2,"Baixa",IF(G13&lt;=5,"Média",IF(G13&lt;=13,"Alta","Muito alta"))))</f>
        <v>Baixa</v>
      </c>
      <c r="J13" s="10" t="n">
        <f aca="false">IF(G13="","",G13*$C$5)</f>
        <v>16</v>
      </c>
      <c r="K13" s="11" t="n">
        <f aca="false">IF(G13="","",J13/$C$6)</f>
        <v>4</v>
      </c>
    </row>
    <row r="14" customFormat="false" ht="31.5" hidden="false" customHeight="true" outlineLevel="0" collapsed="false">
      <c r="A14" s="7" t="s">
        <v>34</v>
      </c>
      <c r="B14" s="8" t="s">
        <v>35</v>
      </c>
      <c r="C14" s="8" t="s">
        <v>20</v>
      </c>
      <c r="D14" s="7" t="n">
        <v>1</v>
      </c>
      <c r="E14" s="7" t="n">
        <v>2</v>
      </c>
      <c r="F14" s="7" t="n">
        <v>1</v>
      </c>
      <c r="G14" s="9" t="n">
        <v>1</v>
      </c>
      <c r="H14" s="8" t="s">
        <v>36</v>
      </c>
      <c r="I14" s="7" t="str">
        <f aca="false">IF(G14="","A definir",IF(G14&lt;=2,"Baixa",IF(G14&lt;=5,"Média",IF(G14&lt;=13,"Alta","Muito alta"))))</f>
        <v>Baixa</v>
      </c>
      <c r="J14" s="10" t="n">
        <f aca="false">IF(G14="","",G14*$C$5)</f>
        <v>8</v>
      </c>
      <c r="K14" s="11" t="n">
        <f aca="false">IF(G14="","",J14/$C$6)</f>
        <v>2</v>
      </c>
    </row>
    <row r="15" customFormat="false" ht="31.5" hidden="false" customHeight="true" outlineLevel="0" collapsed="false">
      <c r="A15" s="7" t="s">
        <v>37</v>
      </c>
      <c r="B15" s="8" t="s">
        <v>38</v>
      </c>
      <c r="C15" s="8" t="s">
        <v>20</v>
      </c>
      <c r="D15" s="7" t="n">
        <v>2</v>
      </c>
      <c r="E15" s="7" t="n">
        <v>1</v>
      </c>
      <c r="F15" s="7" t="n">
        <v>2</v>
      </c>
      <c r="G15" s="9" t="n">
        <v>2</v>
      </c>
      <c r="H15" s="8" t="s">
        <v>39</v>
      </c>
      <c r="I15" s="7" t="str">
        <f aca="false">IF(G15="","A definir",IF(G15&lt;=2,"Baixa",IF(G15&lt;=5,"Média",IF(G15&lt;=13,"Alta","Muito alta"))))</f>
        <v>Baixa</v>
      </c>
      <c r="J15" s="10" t="n">
        <f aca="false">IF(G15="","",G15*$C$5)</f>
        <v>16</v>
      </c>
      <c r="K15" s="11" t="n">
        <f aca="false">IF(G15="","",J15/$C$6)</f>
        <v>4</v>
      </c>
    </row>
    <row r="16" customFormat="false" ht="31.5" hidden="false" customHeight="true" outlineLevel="0" collapsed="false">
      <c r="A16" s="7" t="s">
        <v>40</v>
      </c>
      <c r="B16" s="8" t="s">
        <v>41</v>
      </c>
      <c r="C16" s="8" t="s">
        <v>20</v>
      </c>
      <c r="D16" s="7" t="n">
        <v>5</v>
      </c>
      <c r="E16" s="7" t="n">
        <v>5</v>
      </c>
      <c r="F16" s="7" t="n">
        <v>8</v>
      </c>
      <c r="G16" s="9" t="n">
        <v>5</v>
      </c>
      <c r="H16" s="8" t="s">
        <v>42</v>
      </c>
      <c r="I16" s="7" t="str">
        <f aca="false">IF(G16="","A definir",IF(G16&lt;=2,"Baixa",IF(G16&lt;=5,"Média",IF(G16&lt;=13,"Alta","Muito alta"))))</f>
        <v>Média</v>
      </c>
      <c r="J16" s="10" t="n">
        <f aca="false">IF(G16="","",G16*$C$5)</f>
        <v>40</v>
      </c>
      <c r="K16" s="11" t="n">
        <f aca="false">IF(G16="","",J16/$C$6)</f>
        <v>10</v>
      </c>
    </row>
    <row r="17" customFormat="false" ht="31.5" hidden="false" customHeight="true" outlineLevel="0" collapsed="false">
      <c r="A17" s="7" t="s">
        <v>43</v>
      </c>
      <c r="B17" s="8" t="s">
        <v>44</v>
      </c>
      <c r="C17" s="8" t="s">
        <v>20</v>
      </c>
      <c r="D17" s="7" t="n">
        <v>8</v>
      </c>
      <c r="E17" s="7" t="n">
        <v>8</v>
      </c>
      <c r="F17" s="7" t="n">
        <v>13</v>
      </c>
      <c r="G17" s="9" t="n">
        <v>8</v>
      </c>
      <c r="H17" s="8" t="s">
        <v>45</v>
      </c>
      <c r="I17" s="7" t="str">
        <f aca="false">IF(G17="","A definir",IF(G17&lt;=2,"Baixa",IF(G17&lt;=5,"Média",IF(G17&lt;=13,"Alta","Muito alta"))))</f>
        <v>Alta</v>
      </c>
      <c r="J17" s="10" t="n">
        <f aca="false">IF(G17="","",G17*$C$5)</f>
        <v>64</v>
      </c>
      <c r="K17" s="11" t="n">
        <f aca="false">IF(G17="","",J17/$C$6)</f>
        <v>16</v>
      </c>
    </row>
    <row r="18" customFormat="false" ht="31.5" hidden="false" customHeight="true" outlineLevel="0" collapsed="false">
      <c r="A18" s="7" t="s">
        <v>46</v>
      </c>
      <c r="B18" s="8" t="s">
        <v>47</v>
      </c>
      <c r="C18" s="8" t="s">
        <v>20</v>
      </c>
      <c r="D18" s="7" t="n">
        <v>3</v>
      </c>
      <c r="E18" s="7" t="n">
        <v>3</v>
      </c>
      <c r="F18" s="7" t="n">
        <v>3</v>
      </c>
      <c r="G18" s="9" t="n">
        <v>3</v>
      </c>
      <c r="H18" s="8" t="s">
        <v>48</v>
      </c>
      <c r="I18" s="7" t="str">
        <f aca="false">IF(G18="","A definir",IF(G18&lt;=2,"Baixa",IF(G18&lt;=5,"Média",IF(G18&lt;=13,"Alta","Muito alta"))))</f>
        <v>Média</v>
      </c>
      <c r="J18" s="10" t="n">
        <f aca="false">IF(G18="","",G18*$C$5)</f>
        <v>24</v>
      </c>
      <c r="K18" s="11" t="n">
        <f aca="false">IF(G18="","",J18/$C$6)</f>
        <v>6</v>
      </c>
    </row>
    <row r="19" customFormat="false" ht="31.5" hidden="false" customHeight="true" outlineLevel="0" collapsed="false">
      <c r="A19" s="7" t="s">
        <v>49</v>
      </c>
      <c r="B19" s="8" t="s">
        <v>50</v>
      </c>
      <c r="C19" s="8" t="s">
        <v>20</v>
      </c>
      <c r="D19" s="7" t="n">
        <v>5</v>
      </c>
      <c r="E19" s="7" t="n">
        <v>3</v>
      </c>
      <c r="F19" s="7" t="n">
        <v>5</v>
      </c>
      <c r="G19" s="9" t="n">
        <v>5</v>
      </c>
      <c r="H19" s="8" t="s">
        <v>51</v>
      </c>
      <c r="I19" s="7" t="str">
        <f aca="false">IF(G19="","A definir",IF(G19&lt;=2,"Baixa",IF(G19&lt;=5,"Média",IF(G19&lt;=13,"Alta","Muito alta"))))</f>
        <v>Média</v>
      </c>
      <c r="J19" s="10" t="n">
        <f aca="false">IF(G19="","",G19*$C$5)</f>
        <v>40</v>
      </c>
      <c r="K19" s="11" t="n">
        <f aca="false">IF(G19="","",J19/$C$6)</f>
        <v>10</v>
      </c>
    </row>
    <row r="20" customFormat="false" ht="31.5" hidden="false" customHeight="true" outlineLevel="0" collapsed="false">
      <c r="A20" s="7" t="s">
        <v>52</v>
      </c>
      <c r="B20" s="8" t="s">
        <v>53</v>
      </c>
      <c r="C20" s="8" t="s">
        <v>20</v>
      </c>
      <c r="D20" s="7" t="n">
        <v>20</v>
      </c>
      <c r="E20" s="7" t="n">
        <v>20</v>
      </c>
      <c r="F20" s="7" t="n">
        <v>13</v>
      </c>
      <c r="G20" s="9" t="n">
        <v>20</v>
      </c>
      <c r="H20" s="8" t="s">
        <v>54</v>
      </c>
      <c r="I20" s="7" t="str">
        <f aca="false">IF(G20="","A definir",IF(G20&lt;=2,"Baixa",IF(G20&lt;=5,"Média",IF(G20&lt;=13,"Alta","Muito alta"))))</f>
        <v>Muito alta</v>
      </c>
      <c r="J20" s="10" t="n">
        <f aca="false">IF(G20="","",G20*$C$5)</f>
        <v>160</v>
      </c>
      <c r="K20" s="11" t="n">
        <f aca="false">IF(G20="","",J20/$C$6)</f>
        <v>40</v>
      </c>
    </row>
    <row r="21" customFormat="false" ht="31.5" hidden="false" customHeight="true" outlineLevel="0" collapsed="false">
      <c r="A21" s="7" t="s">
        <v>55</v>
      </c>
      <c r="B21" s="8" t="s">
        <v>56</v>
      </c>
      <c r="C21" s="8" t="s">
        <v>20</v>
      </c>
      <c r="D21" s="7" t="n">
        <v>3</v>
      </c>
      <c r="E21" s="7" t="n">
        <v>3</v>
      </c>
      <c r="F21" s="7" t="n">
        <v>3</v>
      </c>
      <c r="G21" s="9" t="n">
        <v>3</v>
      </c>
      <c r="H21" s="8" t="s">
        <v>57</v>
      </c>
      <c r="I21" s="7" t="str">
        <f aca="false">IF(G21="","A definir",IF(G21&lt;=2,"Baixa",IF(G21&lt;=5,"Média",IF(G21&lt;=13,"Alta","Muito alta"))))</f>
        <v>Média</v>
      </c>
      <c r="J21" s="10" t="n">
        <f aca="false">IF(G21="","",G21*$C$5)</f>
        <v>24</v>
      </c>
      <c r="K21" s="11" t="n">
        <f aca="false">IF(G21="","",J21/$C$6)</f>
        <v>6</v>
      </c>
    </row>
    <row r="22" customFormat="false" ht="31.5" hidden="false" customHeight="true" outlineLevel="0" collapsed="false">
      <c r="A22" s="7" t="s">
        <v>58</v>
      </c>
      <c r="B22" s="8" t="s">
        <v>59</v>
      </c>
      <c r="C22" s="8" t="s">
        <v>20</v>
      </c>
      <c r="D22" s="7" t="n">
        <v>5</v>
      </c>
      <c r="E22" s="7" t="n">
        <v>5</v>
      </c>
      <c r="F22" s="7" t="n">
        <v>3</v>
      </c>
      <c r="G22" s="9" t="n">
        <v>5</v>
      </c>
      <c r="H22" s="8" t="s">
        <v>60</v>
      </c>
      <c r="I22" s="7" t="str">
        <f aca="false">IF(G22="","A definir",IF(G22&lt;=2,"Baixa",IF(G22&lt;=5,"Média",IF(G22&lt;=13,"Alta","Muito alta"))))</f>
        <v>Média</v>
      </c>
      <c r="J22" s="10" t="n">
        <f aca="false">IF(G22="","",G22*$C$5)</f>
        <v>40</v>
      </c>
      <c r="K22" s="11" t="n">
        <f aca="false">IF(G22="","",J22/$C$6)</f>
        <v>10</v>
      </c>
    </row>
    <row r="23" customFormat="false" ht="31.5" hidden="false" customHeight="true" outlineLevel="0" collapsed="false">
      <c r="A23" s="7" t="s">
        <v>61</v>
      </c>
      <c r="B23" s="8" t="s">
        <v>62</v>
      </c>
      <c r="C23" s="8" t="s">
        <v>20</v>
      </c>
      <c r="D23" s="7" t="n">
        <v>8</v>
      </c>
      <c r="E23" s="7" t="n">
        <v>13</v>
      </c>
      <c r="F23" s="7" t="n">
        <v>8</v>
      </c>
      <c r="G23" s="9" t="n">
        <v>8</v>
      </c>
      <c r="H23" s="8" t="s">
        <v>63</v>
      </c>
      <c r="I23" s="7" t="str">
        <f aca="false">IF(G23="","A definir",IF(G23&lt;=2,"Baixa",IF(G23&lt;=5,"Média",IF(G23&lt;=13,"Alta","Muito alta"))))</f>
        <v>Alta</v>
      </c>
      <c r="J23" s="10" t="n">
        <f aca="false">IF(G23="","",G23*$C$5)</f>
        <v>64</v>
      </c>
      <c r="K23" s="11" t="n">
        <f aca="false">IF(G23="","",J23/$C$6)</f>
        <v>16</v>
      </c>
    </row>
    <row r="24" customFormat="false" ht="31.5" hidden="false" customHeight="true" outlineLevel="0" collapsed="false">
      <c r="A24" s="7" t="s">
        <v>64</v>
      </c>
      <c r="B24" s="8" t="s">
        <v>65</v>
      </c>
      <c r="C24" s="8" t="s">
        <v>66</v>
      </c>
      <c r="D24" s="7" t="n">
        <v>2</v>
      </c>
      <c r="E24" s="7" t="n">
        <v>3</v>
      </c>
      <c r="F24" s="7" t="n">
        <v>2</v>
      </c>
      <c r="G24" s="9" t="n">
        <v>2</v>
      </c>
      <c r="H24" s="8" t="s">
        <v>67</v>
      </c>
      <c r="I24" s="7" t="str">
        <f aca="false">IF(G24="","A definir",IF(G24&lt;=2,"Baixa",IF(G24&lt;=5,"Média",IF(G24&lt;=13,"Alta","Muito alta"))))</f>
        <v>Baixa</v>
      </c>
      <c r="J24" s="10" t="n">
        <f aca="false">IF(G24="","",G24*$C$5)</f>
        <v>16</v>
      </c>
      <c r="K24" s="11" t="n">
        <f aca="false">IF(G24="","",J24/$C$6)</f>
        <v>4</v>
      </c>
    </row>
    <row r="25" customFormat="false" ht="31.5" hidden="false" customHeight="true" outlineLevel="0" collapsed="false">
      <c r="A25" s="7" t="s">
        <v>68</v>
      </c>
      <c r="B25" s="8" t="s">
        <v>69</v>
      </c>
      <c r="C25" s="8" t="s">
        <v>66</v>
      </c>
      <c r="D25" s="7" t="n">
        <v>3</v>
      </c>
      <c r="E25" s="7" t="n">
        <v>5</v>
      </c>
      <c r="F25" s="7" t="n">
        <v>3</v>
      </c>
      <c r="G25" s="9" t="n">
        <v>3</v>
      </c>
      <c r="H25" s="8" t="s">
        <v>70</v>
      </c>
      <c r="I25" s="7" t="str">
        <f aca="false">IF(G25="","A definir",IF(G25&lt;=2,"Baixa",IF(G25&lt;=5,"Média",IF(G25&lt;=13,"Alta","Muito alta"))))</f>
        <v>Média</v>
      </c>
      <c r="J25" s="10" t="n">
        <f aca="false">IF(G25="","",G25*$C$5)</f>
        <v>24</v>
      </c>
      <c r="K25" s="11" t="n">
        <f aca="false">IF(G25="","",J25/$C$6)</f>
        <v>6</v>
      </c>
    </row>
    <row r="26" customFormat="false" ht="31.5" hidden="false" customHeight="true" outlineLevel="0" collapsed="false">
      <c r="A26" s="7" t="s">
        <v>71</v>
      </c>
      <c r="B26" s="8" t="s">
        <v>72</v>
      </c>
      <c r="C26" s="8" t="s">
        <v>66</v>
      </c>
      <c r="D26" s="7" t="n">
        <v>3</v>
      </c>
      <c r="E26" s="7" t="n">
        <v>3</v>
      </c>
      <c r="F26" s="7" t="n">
        <v>3</v>
      </c>
      <c r="G26" s="9" t="n">
        <v>3</v>
      </c>
      <c r="H26" s="8" t="s">
        <v>73</v>
      </c>
      <c r="I26" s="7" t="str">
        <f aca="false">IF(G26="","A definir",IF(G26&lt;=2,"Baixa",IF(G26&lt;=5,"Média",IF(G26&lt;=13,"Alta","Muito alta"))))</f>
        <v>Média</v>
      </c>
      <c r="J26" s="10" t="n">
        <f aca="false">IF(G26="","",G26*$C$5)</f>
        <v>24</v>
      </c>
      <c r="K26" s="11" t="n">
        <f aca="false">IF(G26="","",J26/$C$6)</f>
        <v>6</v>
      </c>
    </row>
    <row r="27" customFormat="false" ht="31.5" hidden="false" customHeight="true" outlineLevel="0" collapsed="false">
      <c r="A27" s="7" t="s">
        <v>74</v>
      </c>
      <c r="B27" s="8" t="s">
        <v>75</v>
      </c>
      <c r="C27" s="8" t="s">
        <v>66</v>
      </c>
      <c r="D27" s="7" t="n">
        <v>2</v>
      </c>
      <c r="E27" s="7" t="n">
        <v>2</v>
      </c>
      <c r="F27" s="7" t="n">
        <v>1</v>
      </c>
      <c r="G27" s="9" t="n">
        <v>2</v>
      </c>
      <c r="H27" s="8" t="s">
        <v>76</v>
      </c>
      <c r="I27" s="7" t="str">
        <f aca="false">IF(G27="","A definir",IF(G27&lt;=2,"Baixa",IF(G27&lt;=5,"Média",IF(G27&lt;=13,"Alta","Muito alta"))))</f>
        <v>Baixa</v>
      </c>
      <c r="J27" s="10" t="n">
        <f aca="false">IF(G27="","",G27*$C$5)</f>
        <v>16</v>
      </c>
      <c r="K27" s="11" t="n">
        <f aca="false">IF(G27="","",J27/$C$6)</f>
        <v>4</v>
      </c>
    </row>
    <row r="28" customFormat="false" ht="19.5" hidden="false" customHeight="true" outlineLevel="0" collapsed="false">
      <c r="A28" s="7" t="s">
        <v>77</v>
      </c>
      <c r="B28" s="8" t="s">
        <v>78</v>
      </c>
      <c r="C28" s="8" t="s">
        <v>66</v>
      </c>
      <c r="D28" s="7" t="n">
        <v>2</v>
      </c>
      <c r="E28" s="7" t="n">
        <v>2</v>
      </c>
      <c r="F28" s="7" t="n">
        <v>2</v>
      </c>
      <c r="G28" s="9" t="n">
        <v>2</v>
      </c>
      <c r="H28" s="8" t="s">
        <v>79</v>
      </c>
      <c r="I28" s="7" t="str">
        <f aca="false">IF(G28="","A definir",IF(G28&lt;=2,"Baixa",IF(G28&lt;=5,"Média",IF(G28&lt;=13,"Alta","Muito alta"))))</f>
        <v>Baixa</v>
      </c>
      <c r="J28" s="10" t="n">
        <f aca="false">IF(G28="","",G28*$C$5)</f>
        <v>16</v>
      </c>
      <c r="K28" s="11" t="n">
        <f aca="false">IF(G28="","",J28/$C$6)</f>
        <v>4</v>
      </c>
    </row>
    <row r="29" customFormat="false" ht="31.5" hidden="false" customHeight="true" outlineLevel="0" collapsed="false">
      <c r="A29" s="7" t="s">
        <v>80</v>
      </c>
      <c r="B29" s="8" t="s">
        <v>81</v>
      </c>
      <c r="C29" s="8" t="s">
        <v>66</v>
      </c>
      <c r="D29" s="7" t="n">
        <v>3</v>
      </c>
      <c r="E29" s="7" t="n">
        <v>3</v>
      </c>
      <c r="F29" s="7" t="n">
        <v>5</v>
      </c>
      <c r="G29" s="9" t="n">
        <v>3</v>
      </c>
      <c r="H29" s="8" t="s">
        <v>82</v>
      </c>
      <c r="I29" s="7" t="str">
        <f aca="false">IF(G29="","A definir",IF(G29&lt;=2,"Baixa",IF(G29&lt;=5,"Média",IF(G29&lt;=13,"Alta","Muito alta"))))</f>
        <v>Média</v>
      </c>
      <c r="J29" s="10" t="n">
        <f aca="false">IF(G29="","",G29*$C$5)</f>
        <v>24</v>
      </c>
      <c r="K29" s="11" t="n">
        <f aca="false">IF(G29="","",J29/$C$6)</f>
        <v>6</v>
      </c>
    </row>
    <row r="30" customFormat="false" ht="19.5" hidden="false" customHeight="true" outlineLevel="0" collapsed="false">
      <c r="A30" s="7" t="s">
        <v>83</v>
      </c>
      <c r="B30" s="8" t="s">
        <v>84</v>
      </c>
      <c r="C30" s="8" t="s">
        <v>66</v>
      </c>
      <c r="D30" s="7" t="n">
        <v>2</v>
      </c>
      <c r="E30" s="7" t="n">
        <v>2</v>
      </c>
      <c r="F30" s="7" t="n">
        <v>2</v>
      </c>
      <c r="G30" s="9" t="n">
        <v>2</v>
      </c>
      <c r="H30" s="8" t="s">
        <v>85</v>
      </c>
      <c r="I30" s="7" t="str">
        <f aca="false">IF(G30="","A definir",IF(G30&lt;=2,"Baixa",IF(G30&lt;=5,"Média",IF(G30&lt;=13,"Alta","Muito alta"))))</f>
        <v>Baixa</v>
      </c>
      <c r="J30" s="10" t="n">
        <f aca="false">IF(G30="","",G30*$C$5)</f>
        <v>16</v>
      </c>
      <c r="K30" s="11" t="n">
        <f aca="false">IF(G30="","",J30/$C$6)</f>
        <v>4</v>
      </c>
    </row>
    <row r="31" customFormat="false" ht="19.5" hidden="false" customHeight="true" outlineLevel="0" collapsed="false">
      <c r="A31" s="7" t="s">
        <v>86</v>
      </c>
      <c r="B31" s="8" t="s">
        <v>87</v>
      </c>
      <c r="C31" s="8" t="s">
        <v>66</v>
      </c>
      <c r="D31" s="7" t="n">
        <v>3</v>
      </c>
      <c r="E31" s="7" t="n">
        <v>3</v>
      </c>
      <c r="F31" s="7" t="n">
        <v>2</v>
      </c>
      <c r="G31" s="9" t="n">
        <v>3</v>
      </c>
      <c r="H31" s="8" t="s">
        <v>88</v>
      </c>
      <c r="I31" s="7" t="str">
        <f aca="false">IF(G31="","A definir",IF(G31&lt;=2,"Baixa",IF(G31&lt;=5,"Média",IF(G31&lt;=13,"Alta","Muito alta"))))</f>
        <v>Média</v>
      </c>
      <c r="J31" s="10" t="n">
        <f aca="false">IF(G31="","",G31*$C$5)</f>
        <v>24</v>
      </c>
      <c r="K31" s="11" t="n">
        <f aca="false">IF(G31="","",J31/$C$6)</f>
        <v>6</v>
      </c>
    </row>
    <row r="32" customFormat="false" ht="31.5" hidden="false" customHeight="true" outlineLevel="0" collapsed="false">
      <c r="A32" s="7" t="s">
        <v>89</v>
      </c>
      <c r="B32" s="8" t="s">
        <v>90</v>
      </c>
      <c r="C32" s="8" t="s">
        <v>66</v>
      </c>
      <c r="D32" s="7" t="n">
        <v>2</v>
      </c>
      <c r="E32" s="7" t="n">
        <v>3</v>
      </c>
      <c r="F32" s="7" t="n">
        <v>2</v>
      </c>
      <c r="G32" s="9" t="n">
        <v>2</v>
      </c>
      <c r="H32" s="8" t="s">
        <v>91</v>
      </c>
      <c r="I32" s="7" t="str">
        <f aca="false">IF(G32="","A definir",IF(G32&lt;=2,"Baixa",IF(G32&lt;=5,"Média",IF(G32&lt;=13,"Alta","Muito alta"))))</f>
        <v>Baixa</v>
      </c>
      <c r="J32" s="10" t="n">
        <f aca="false">IF(G32="","",G32*$C$5)</f>
        <v>16</v>
      </c>
      <c r="K32" s="11" t="n">
        <f aca="false">IF(G32="","",J32/$C$6)</f>
        <v>4</v>
      </c>
    </row>
    <row r="33" customFormat="false" ht="19.5" hidden="false" customHeight="true" outlineLevel="0" collapsed="false">
      <c r="A33" s="7" t="s">
        <v>92</v>
      </c>
      <c r="B33" s="8" t="s">
        <v>93</v>
      </c>
      <c r="C33" s="8" t="s">
        <v>66</v>
      </c>
      <c r="D33" s="7" t="n">
        <v>5</v>
      </c>
      <c r="E33" s="7" t="n">
        <v>5</v>
      </c>
      <c r="F33" s="7" t="s">
        <v>94</v>
      </c>
      <c r="G33" s="9" t="n">
        <v>5</v>
      </c>
      <c r="H33" s="8" t="s">
        <v>95</v>
      </c>
      <c r="I33" s="7" t="str">
        <f aca="false">IF(G33="","A definir",IF(G33&lt;=2,"Baixa",IF(G33&lt;=5,"Média",IF(G33&lt;=13,"Alta","Muito alta"))))</f>
        <v>Média</v>
      </c>
      <c r="J33" s="10" t="n">
        <f aca="false">IF(G33="","",G33*$C$5)</f>
        <v>40</v>
      </c>
      <c r="K33" s="11" t="n">
        <f aca="false">IF(G33="","",J33/$C$6)</f>
        <v>10</v>
      </c>
    </row>
    <row r="34" customFormat="false" ht="19.5" hidden="false" customHeight="true" outlineLevel="0" collapsed="false">
      <c r="A34" s="7" t="s">
        <v>96</v>
      </c>
      <c r="B34" s="8" t="s">
        <v>97</v>
      </c>
      <c r="C34" s="8" t="s">
        <v>66</v>
      </c>
      <c r="D34" s="7" t="n">
        <v>2</v>
      </c>
      <c r="E34" s="7" t="n">
        <v>2</v>
      </c>
      <c r="F34" s="7" t="n">
        <v>1</v>
      </c>
      <c r="G34" s="9" t="n">
        <v>2</v>
      </c>
      <c r="H34" s="8" t="s">
        <v>98</v>
      </c>
      <c r="I34" s="7" t="str">
        <f aca="false">IF(G34="","A definir",IF(G34&lt;=2,"Baixa",IF(G34&lt;=5,"Média",IF(G34&lt;=13,"Alta","Muito alta"))))</f>
        <v>Baixa</v>
      </c>
      <c r="J34" s="10" t="n">
        <f aca="false">IF(G34="","",G34*$C$5)</f>
        <v>16</v>
      </c>
      <c r="K34" s="11" t="n">
        <f aca="false">IF(G34="","",J34/$C$6)</f>
        <v>4</v>
      </c>
    </row>
    <row r="35" customFormat="false" ht="15" hidden="false" customHeight="false" outlineLevel="0" collapsed="false">
      <c r="A35" s="12" t="s">
        <v>99</v>
      </c>
      <c r="B35" s="12"/>
      <c r="C35" s="12"/>
      <c r="D35" s="12"/>
      <c r="E35" s="12"/>
      <c r="F35" s="12"/>
      <c r="G35" s="13" t="n">
        <f aca="false">SUM(G9:G34)</f>
        <v>110</v>
      </c>
      <c r="H35" s="13"/>
      <c r="I35" s="13"/>
      <c r="J35" s="14" t="n">
        <f aca="false">SUM(J9:J34)</f>
        <v>880</v>
      </c>
      <c r="K35" s="15" t="n">
        <f aca="false">SUM(K9:K34)</f>
        <v>220</v>
      </c>
    </row>
    <row r="36" customFormat="false" ht="15" hidden="false" customHeight="false" outlineLevel="0" collapsed="false">
      <c r="A36" s="12" t="s">
        <v>100</v>
      </c>
      <c r="B36" s="12"/>
      <c r="C36" s="12"/>
      <c r="D36" s="12"/>
      <c r="E36" s="12"/>
      <c r="F36" s="12"/>
      <c r="G36" s="13"/>
      <c r="H36" s="13"/>
      <c r="I36" s="13"/>
      <c r="J36" s="13"/>
      <c r="K36" s="15" t="n">
        <f aca="false">K35/3</f>
        <v>73.3333333333333</v>
      </c>
    </row>
  </sheetData>
  <mergeCells count="2">
    <mergeCell ref="A35:F35"/>
    <mergeCell ref="A36:F36"/>
  </mergeCells>
  <dataValidations count="1">
    <dataValidation allowBlank="true" error="Use uma das cartas." errorStyle="warning" operator="between" showDropDown="false" showErrorMessage="true" showInputMessage="false" sqref="D9:G34" type="list">
      <formula1>"0,½,1,2,3,5,8,13,20,?,Café,∞"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16" t="s">
        <v>102</v>
      </c>
      <c r="B2" s="16"/>
      <c r="C2" s="17" t="s">
        <v>103</v>
      </c>
      <c r="D2" s="17"/>
    </row>
    <row r="4" customFormat="false" ht="24" hidden="false" customHeight="true" outlineLevel="0" collapsed="false">
      <c r="A4" s="6" t="s">
        <v>7</v>
      </c>
      <c r="B4" s="6" t="s">
        <v>104</v>
      </c>
      <c r="C4" s="6" t="s">
        <v>105</v>
      </c>
      <c r="D4" s="6" t="s">
        <v>106</v>
      </c>
    </row>
    <row r="5" customFormat="false" ht="31.5" hidden="false" customHeight="true" outlineLevel="0" collapsed="false">
      <c r="A5" s="7" t="s">
        <v>18</v>
      </c>
      <c r="B5" s="8" t="s">
        <v>19</v>
      </c>
      <c r="C5" s="7" t="n">
        <v>3</v>
      </c>
      <c r="D5" s="8" t="s">
        <v>107</v>
      </c>
    </row>
    <row r="6" customFormat="false" ht="31.5" hidden="false" customHeight="true" outlineLevel="0" collapsed="false">
      <c r="A6" s="7" t="s">
        <v>25</v>
      </c>
      <c r="B6" s="8" t="s">
        <v>26</v>
      </c>
      <c r="C6" s="7" t="n">
        <v>13</v>
      </c>
      <c r="D6" s="8" t="s">
        <v>108</v>
      </c>
    </row>
    <row r="7" customFormat="false" ht="19.5" hidden="false" customHeight="true" outlineLevel="0" collapsed="false">
      <c r="A7" s="7" t="s">
        <v>31</v>
      </c>
      <c r="B7" s="8" t="s">
        <v>32</v>
      </c>
      <c r="C7" s="7" t="n">
        <v>2</v>
      </c>
      <c r="D7" s="8" t="s">
        <v>109</v>
      </c>
    </row>
    <row r="8" customFormat="false" ht="31.5" hidden="false" customHeight="true" outlineLevel="0" collapsed="false">
      <c r="A8" s="7" t="s">
        <v>40</v>
      </c>
      <c r="B8" s="8" t="s">
        <v>41</v>
      </c>
      <c r="C8" s="7" t="n">
        <v>8</v>
      </c>
      <c r="D8" s="8" t="s">
        <v>110</v>
      </c>
    </row>
    <row r="9" customFormat="false" ht="31.5" hidden="false" customHeight="true" outlineLevel="0" collapsed="false">
      <c r="A9" s="7" t="s">
        <v>43</v>
      </c>
      <c r="B9" s="8" t="s">
        <v>44</v>
      </c>
      <c r="C9" s="7" t="n">
        <v>13</v>
      </c>
      <c r="D9" s="8" t="s">
        <v>111</v>
      </c>
    </row>
    <row r="10" customFormat="false" ht="31.5" hidden="false" customHeight="true" outlineLevel="0" collapsed="false">
      <c r="A10" s="7" t="s">
        <v>52</v>
      </c>
      <c r="B10" s="8" t="s">
        <v>53</v>
      </c>
      <c r="C10" s="7" t="n">
        <v>20</v>
      </c>
      <c r="D10" s="8" t="s">
        <v>109</v>
      </c>
    </row>
    <row r="11" customFormat="false" ht="31.5" hidden="false" customHeight="true" outlineLevel="0" collapsed="false">
      <c r="A11" s="7" t="s">
        <v>61</v>
      </c>
      <c r="B11" s="8" t="s">
        <v>62</v>
      </c>
      <c r="C11" s="7" t="n">
        <v>8</v>
      </c>
      <c r="D11" s="8" t="s">
        <v>109</v>
      </c>
    </row>
    <row r="12" customFormat="false" ht="19.5" hidden="false" customHeight="true" outlineLevel="0" collapsed="false">
      <c r="A12" s="7" t="s">
        <v>92</v>
      </c>
      <c r="B12" s="8" t="s">
        <v>93</v>
      </c>
      <c r="C12" s="7" t="n">
        <v>8</v>
      </c>
      <c r="D12" s="8" t="s">
        <v>112</v>
      </c>
    </row>
  </sheetData>
  <mergeCells count="2">
    <mergeCell ref="A2:B2"/>
    <mergeCell ref="C2:D2"/>
  </mergeCells>
  <dataValidations count="1">
    <dataValidation allowBlank="true" error="Use uma das cartas." errorStyle="warning" operator="between" showDropDown="false" showErrorMessage="true" showInputMessage="false" sqref="C5:C12" type="list">
      <formula1>"0,½,1,2,3,5,8,13,20,?,Café,∞"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16" t="s">
        <v>102</v>
      </c>
      <c r="B2" s="16"/>
      <c r="C2" s="17" t="s">
        <v>103</v>
      </c>
      <c r="D2" s="17"/>
      <c r="E2" s="17"/>
    </row>
    <row r="4" customFormat="false" ht="31.5" hidden="false" customHeight="true" outlineLevel="0" collapsed="false">
      <c r="A4" s="6" t="s">
        <v>7</v>
      </c>
      <c r="B4" s="6" t="s">
        <v>104</v>
      </c>
      <c r="C4" s="6" t="s">
        <v>114</v>
      </c>
      <c r="D4" s="6" t="s">
        <v>115</v>
      </c>
      <c r="E4" s="6" t="s">
        <v>116</v>
      </c>
      <c r="F4" s="6" t="s">
        <v>117</v>
      </c>
      <c r="G4" s="6" t="s">
        <v>118</v>
      </c>
      <c r="H4" s="6" t="s">
        <v>119</v>
      </c>
    </row>
    <row r="5" customFormat="false" ht="31.5" hidden="false" customHeight="true" outlineLevel="0" collapsed="false">
      <c r="A5" s="7" t="s">
        <v>18</v>
      </c>
      <c r="B5" s="8" t="s">
        <v>19</v>
      </c>
      <c r="C5" s="7" t="n">
        <f aca="false">'Planning Poker'!G9</f>
        <v>5</v>
      </c>
      <c r="D5" s="7" t="n">
        <f aca="false">'Avaliação da outra equipe'!C5</f>
        <v>3</v>
      </c>
      <c r="E5" s="8" t="str">
        <f aca="false">'Avaliação da outra equipe'!D5</f>
        <v>O cadastro parece só um formulário, 3 não seria suficiente?</v>
      </c>
      <c r="F5" s="7" t="s">
        <v>120</v>
      </c>
      <c r="G5" s="7" t="n">
        <f aca="false">IF(F5="","",IF(F5="Sim",D5,C5))</f>
        <v>5</v>
      </c>
      <c r="H5" s="8" t="s">
        <v>121</v>
      </c>
    </row>
    <row r="6" customFormat="false" ht="31.5" hidden="false" customHeight="true" outlineLevel="0" collapsed="false">
      <c r="A6" s="7" t="s">
        <v>25</v>
      </c>
      <c r="B6" s="8" t="s">
        <v>26</v>
      </c>
      <c r="C6" s="7" t="n">
        <f aca="false">'Planning Poker'!G11</f>
        <v>8</v>
      </c>
      <c r="D6" s="7" t="n">
        <f aca="false">'Avaliação da outra equipe'!C6</f>
        <v>13</v>
      </c>
      <c r="E6" s="8" t="str">
        <f aca="false">'Avaliação da outra equipe'!D6</f>
        <v>Tem itens, cliente e vários métodos de pagamento, parece mais que 8.</v>
      </c>
      <c r="F6" s="7" t="s">
        <v>120</v>
      </c>
      <c r="G6" s="7" t="n">
        <f aca="false">IF(F6="","",IF(F6="Sim",D6,C6))</f>
        <v>8</v>
      </c>
      <c r="H6" s="8" t="s">
        <v>122</v>
      </c>
    </row>
    <row r="7" customFormat="false" ht="31.5" hidden="false" customHeight="true" outlineLevel="0" collapsed="false">
      <c r="A7" s="7" t="s">
        <v>31</v>
      </c>
      <c r="B7" s="8" t="s">
        <v>32</v>
      </c>
      <c r="C7" s="7" t="n">
        <f aca="false">'Planning Poker'!G13</f>
        <v>2</v>
      </c>
      <c r="D7" s="7" t="n">
        <f aca="false">'Avaliação da outra equipe'!C7</f>
        <v>2</v>
      </c>
      <c r="E7" s="8" t="str">
        <f aca="false">'Avaliação da outra equipe'!D7</f>
        <v>Sem dúvidas.</v>
      </c>
      <c r="F7" s="7" t="s">
        <v>123</v>
      </c>
      <c r="G7" s="7" t="n">
        <f aca="false">IF(F7="","",IF(F7="Sim",D7,C7))</f>
        <v>2</v>
      </c>
      <c r="H7" s="8" t="s">
        <v>124</v>
      </c>
    </row>
    <row r="8" customFormat="false" ht="31.5" hidden="false" customHeight="true" outlineLevel="0" collapsed="false">
      <c r="A8" s="7" t="s">
        <v>40</v>
      </c>
      <c r="B8" s="8" t="s">
        <v>41</v>
      </c>
      <c r="C8" s="7" t="n">
        <f aca="false">'Planning Poker'!G16</f>
        <v>5</v>
      </c>
      <c r="D8" s="7" t="n">
        <f aca="false">'Avaliação da outra equipe'!C8</f>
        <v>8</v>
      </c>
      <c r="E8" s="8" t="str">
        <f aca="false">'Avaliação da outra equipe'!D8</f>
        <v>O extrato tem exportação?</v>
      </c>
      <c r="F8" s="7" t="s">
        <v>120</v>
      </c>
      <c r="G8" s="7" t="n">
        <f aca="false">IF(F8="","",IF(F8="Sim",D8,C8))</f>
        <v>5</v>
      </c>
      <c r="H8" s="8" t="s">
        <v>125</v>
      </c>
    </row>
    <row r="9" customFormat="false" ht="45" hidden="false" customHeight="true" outlineLevel="0" collapsed="false">
      <c r="A9" s="7" t="s">
        <v>43</v>
      </c>
      <c r="B9" s="8" t="s">
        <v>44</v>
      </c>
      <c r="C9" s="7" t="n">
        <f aca="false">'Planning Poker'!G17</f>
        <v>8</v>
      </c>
      <c r="D9" s="7" t="n">
        <f aca="false">'Avaliação da outra equipe'!C9</f>
        <v>13</v>
      </c>
      <c r="E9" s="8" t="str">
        <f aca="false">'Avaliação da outra equipe'!D9</f>
        <v>A transferência para o banco é real?</v>
      </c>
      <c r="F9" s="7" t="s">
        <v>120</v>
      </c>
      <c r="G9" s="7" t="n">
        <f aca="false">IF(F9="","",IF(F9="Sim",D9,C9))</f>
        <v>8</v>
      </c>
      <c r="H9" s="8" t="s">
        <v>126</v>
      </c>
    </row>
    <row r="10" customFormat="false" ht="45" hidden="false" customHeight="true" outlineLevel="0" collapsed="false">
      <c r="A10" s="7" t="s">
        <v>52</v>
      </c>
      <c r="B10" s="8" t="s">
        <v>53</v>
      </c>
      <c r="C10" s="7" t="n">
        <f aca="false">'Planning Poker'!G20</f>
        <v>20</v>
      </c>
      <c r="D10" s="7" t="n">
        <f aca="false">'Avaliação da outra equipe'!C10</f>
        <v>20</v>
      </c>
      <c r="E10" s="8" t="str">
        <f aca="false">'Avaliação da outra equipe'!D10</f>
        <v>Sem dúvidas.</v>
      </c>
      <c r="F10" s="7" t="s">
        <v>123</v>
      </c>
      <c r="G10" s="7" t="n">
        <f aca="false">IF(F10="","",IF(F10="Sim",D10,C10))</f>
        <v>20</v>
      </c>
      <c r="H10" s="8" t="s">
        <v>124</v>
      </c>
    </row>
    <row r="11" customFormat="false" ht="31.5" hidden="false" customHeight="true" outlineLevel="0" collapsed="false">
      <c r="A11" s="7" t="s">
        <v>61</v>
      </c>
      <c r="B11" s="8" t="s">
        <v>62</v>
      </c>
      <c r="C11" s="7" t="n">
        <f aca="false">'Planning Poker'!G23</f>
        <v>8</v>
      </c>
      <c r="D11" s="7" t="n">
        <f aca="false">'Avaliação da outra equipe'!C11</f>
        <v>8</v>
      </c>
      <c r="E11" s="8" t="str">
        <f aca="false">'Avaliação da outra equipe'!D11</f>
        <v>Sem dúvidas.</v>
      </c>
      <c r="F11" s="7" t="s">
        <v>123</v>
      </c>
      <c r="G11" s="7" t="n">
        <f aca="false">IF(F11="","",IF(F11="Sim",D11,C11))</f>
        <v>8</v>
      </c>
      <c r="H11" s="8" t="s">
        <v>124</v>
      </c>
    </row>
    <row r="12" customFormat="false" ht="31.5" hidden="false" customHeight="true" outlineLevel="0" collapsed="false">
      <c r="A12" s="7" t="s">
        <v>92</v>
      </c>
      <c r="B12" s="8" t="s">
        <v>93</v>
      </c>
      <c r="C12" s="7" t="n">
        <f aca="false">'Planning Poker'!G33</f>
        <v>5</v>
      </c>
      <c r="D12" s="7" t="n">
        <f aca="false">'Avaliação da outra equipe'!C12</f>
        <v>8</v>
      </c>
      <c r="E12" s="8" t="str">
        <f aca="false">'Avaliação da outra equipe'!D12</f>
        <v>Se o DICT demorar ou ficar fora do ar, o que acontece?</v>
      </c>
      <c r="F12" s="7" t="s">
        <v>123</v>
      </c>
      <c r="G12" s="7" t="n">
        <f aca="false">IF(F12="","",IF(F12="Sim",D12,C12))</f>
        <v>8</v>
      </c>
      <c r="H12" s="8" t="s">
        <v>127</v>
      </c>
    </row>
  </sheetData>
  <mergeCells count="2">
    <mergeCell ref="A2:B2"/>
    <mergeCell ref="C2:E2"/>
  </mergeCells>
  <dataValidations count="1">
    <dataValidation allowBlank="true" error="Escolha Sim ou Não." errorStyle="stop" operator="between" showDropDown="false" showErrorMessage="true" showInputMessage="false" sqref="F5:F12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2026-10-28T22:05:38Z</dcterms:created>
  <dc:creator>Eduardo Lourenço da Silva</dc:creator>
  <dc:description/>
  <dc:language>en-US</dc:language>
  <cp:lastModifiedBy>Eduardo Lourenço da Silva</cp:lastModifiedBy>
  <dcterms:modified xsi:type="dcterms:W3CDTF">2026-10-28T22:05:38Z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