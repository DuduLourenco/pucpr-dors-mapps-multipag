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adro individual" sheetId="1" state="visible" r:id="rId3"/>
    <sheet name="Mural da equipe" sheetId="2" state="visible" r:id="rId4"/>
    <sheet name="Avaliação da outra equip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<sst xmlns="http://schemas.openxmlformats.org/spreadsheetml/2006/main" count="281" uniqueCount="117">
  <si>
    <t xml:space="preserve">Affinity Estimation: MultiPag</t>
  </si>
  <si>
    <t xml:space="preserve">Tamanho de cada requisito escolhido por cada membro, sem discussão, e tamanho da equipe depois de alinhar no mural.</t>
  </si>
  <si>
    <t xml:space="preserve">ID</t>
  </si>
  <si>
    <t xml:space="preserve">Requisito funcional</t>
  </si>
  <si>
    <t xml:space="preserve">Eduardo</t>
  </si>
  <si>
    <t xml:space="preserve">Gabriel</t>
  </si>
  <si>
    <t xml:space="preserve">João Pedro</t>
  </si>
  <si>
    <t xml:space="preserve">Equipe (após discussão)</t>
  </si>
  <si>
    <t xml:space="preserve">RF01</t>
  </si>
  <si>
    <t xml:space="preserve">Cadastro do business com nome/responsável, e-mail, CPF, data de nascimento e senha</t>
  </si>
  <si>
    <t xml:space="preserve">L</t>
  </si>
  <si>
    <t xml:space="preserve">M</t>
  </si>
  <si>
    <t xml:space="preserve">RF02</t>
  </si>
  <si>
    <t xml:space="preserve">Login do business com e-mail e senha</t>
  </si>
  <si>
    <t xml:space="preserve">S</t>
  </si>
  <si>
    <t xml:space="preserve">RF03</t>
  </si>
  <si>
    <t xml:space="preserve">Criar cobrança informando valor, descrição e cliente destinatário</t>
  </si>
  <si>
    <t xml:space="preserve">XL</t>
  </si>
  <si>
    <t xml:space="preserve">RF04</t>
  </si>
  <si>
    <t xml:space="preserve">Configurar, por cobrança, os métodos de pagamento aceitos (Pix, cartão, boleto, cripto)</t>
  </si>
  <si>
    <t xml:space="preserve">RF05</t>
  </si>
  <si>
    <t xml:space="preserve">Gerar um link único de pagamento para cada cobrança</t>
  </si>
  <si>
    <t xml:space="preserve">RF06</t>
  </si>
  <si>
    <t xml:space="preserve">Enviar/disponibilizar ao cliente o link da cobrança</t>
  </si>
  <si>
    <t xml:space="preserve">XS</t>
  </si>
  <si>
    <t xml:space="preserve">RF07</t>
  </si>
  <si>
    <t xml:space="preserve">Visualizar o saldo disponível em reais</t>
  </si>
  <si>
    <t xml:space="preserve">RF08</t>
  </si>
  <si>
    <t xml:space="preserve">Consultar o extrato de movimentações (pagamentos recebidos)</t>
  </si>
  <si>
    <t xml:space="preserve">RF09</t>
  </si>
  <si>
    <t xml:space="preserve">Solicitar saque do saldo disponível, exclusivamente via Pix</t>
  </si>
  <si>
    <t xml:space="preserve">XXL</t>
  </si>
  <si>
    <t xml:space="preserve">RF10</t>
  </si>
  <si>
    <t xml:space="preserve">Cliente acessar e visualizar a cobrança a partir do link recebido</t>
  </si>
  <si>
    <t xml:space="preserve">RF11</t>
  </si>
  <si>
    <t xml:space="preserve">Cliente pagar a cobrança como convidado, informando o CPF</t>
  </si>
  <si>
    <t xml:space="preserve">RF12</t>
  </si>
  <si>
    <t xml:space="preserve">Cliente pagar por qualquer método habilitado pelo business (Pix, cartão, boleto ou cripto)</t>
  </si>
  <si>
    <t xml:space="preserve">RF13</t>
  </si>
  <si>
    <t xml:space="preserve">Cadastro opcional de conta de cliente (e-mail, CPF e senha)</t>
  </si>
  <si>
    <t xml:space="preserve">RF14</t>
  </si>
  <si>
    <t xml:space="preserve">Cliente logado visualizar as cobranças vinculadas ao seu CPF, de qualquer business</t>
  </si>
  <si>
    <t xml:space="preserve">RF15</t>
  </si>
  <si>
    <t xml:space="preserve">Atualizar o status da cobrança automaticamente após a confirmação do pagamento</t>
  </si>
  <si>
    <t xml:space="preserve">RF16</t>
  </si>
  <si>
    <t xml:space="preserve">Business alterar os dados da sua conta</t>
  </si>
  <si>
    <t xml:space="preserve">RF17</t>
  </si>
  <si>
    <t xml:space="preserve">Business excluir a própria conta</t>
  </si>
  <si>
    <t xml:space="preserve">RF18</t>
  </si>
  <si>
    <t xml:space="preserve">Business alterar uma cobrança pendente</t>
  </si>
  <si>
    <t xml:space="preserve">RF19</t>
  </si>
  <si>
    <t xml:space="preserve">Business cancelar uma cobrança pendente</t>
  </si>
  <si>
    <t xml:space="preserve">RF20</t>
  </si>
  <si>
    <t xml:space="preserve">Cliente alterar os dados da sua conta</t>
  </si>
  <si>
    <t xml:space="preserve">RF21</t>
  </si>
  <si>
    <t xml:space="preserve">Cliente excluir a própria conta (LGPD)</t>
  </si>
  <si>
    <t xml:space="preserve">RF22</t>
  </si>
  <si>
    <t xml:space="preserve">Cliente consultar o resultado do pagamento</t>
  </si>
  <si>
    <t xml:space="preserve">RF23</t>
  </si>
  <si>
    <t xml:space="preserve">Business listar as cobranças que emitiu</t>
  </si>
  <si>
    <t xml:space="preserve">RF24</t>
  </si>
  <si>
    <t xml:space="preserve">Business consultar os detalhes de uma cobrança</t>
  </si>
  <si>
    <t xml:space="preserve">RF25</t>
  </si>
  <si>
    <t xml:space="preserve">Validar a chave Pix de destino do saque no DICT</t>
  </si>
  <si>
    <t xml:space="preserve">?</t>
  </si>
  <si>
    <t xml:space="preserve">RF26</t>
  </si>
  <si>
    <t xml:space="preserve">Business listar os saques recentes</t>
  </si>
  <si>
    <t xml:space="preserve">Mural da equipe</t>
  </si>
  <si>
    <t xml:space="preserve">Menor  →  Maior</t>
  </si>
  <si>
    <t xml:space="preserve">RF06  Enviar o link ao cliente</t>
  </si>
  <si>
    <t xml:space="preserve">RF05  Link único de pagamento</t>
  </si>
  <si>
    <t xml:space="preserve">RF02  Login do business</t>
  </si>
  <si>
    <t xml:space="preserve">RF01  Cadastro do business</t>
  </si>
  <si>
    <t xml:space="preserve">RF03  Criar cobrança</t>
  </si>
  <si>
    <t xml:space="preserve">RF12  Pagar por qualquer método</t>
  </si>
  <si>
    <t xml:space="preserve">RF07  Saldo disponível</t>
  </si>
  <si>
    <t xml:space="preserve">RF04  Métodos de pagamento da cobrança</t>
  </si>
  <si>
    <t xml:space="preserve">RF08  Extrato de movimentações</t>
  </si>
  <si>
    <t xml:space="preserve">RF09  Saque via Pix</t>
  </si>
  <si>
    <t xml:space="preserve">RF16  Business alterar dados da conta</t>
  </si>
  <si>
    <t xml:space="preserve">RF10  Cliente abrir a cobrança pelo link</t>
  </si>
  <si>
    <t xml:space="preserve">RF11  Pagar como convidado (CPF)</t>
  </si>
  <si>
    <t xml:space="preserve">RF15  Atualizar status após pagamento</t>
  </si>
  <si>
    <t xml:space="preserve">RF19  Cancelar cobrança pendente</t>
  </si>
  <si>
    <t xml:space="preserve">RF13  Cadastro de conta do cliente</t>
  </si>
  <si>
    <t xml:space="preserve">RF14  Cobranças do cliente por CPF</t>
  </si>
  <si>
    <t xml:space="preserve">RF25  Validar chave Pix no DICT</t>
  </si>
  <si>
    <t xml:space="preserve">RF20  Cliente alterar dados da conta</t>
  </si>
  <si>
    <t xml:space="preserve">RF17  Business excluir a conta</t>
  </si>
  <si>
    <t xml:space="preserve">RF22  Resultado do pagamento</t>
  </si>
  <si>
    <t xml:space="preserve">RF18  Alterar cobrança pendente</t>
  </si>
  <si>
    <t xml:space="preserve">RF24  Detalhes de uma cobrança</t>
  </si>
  <si>
    <t xml:space="preserve">RF21  Cliente excluir a conta (LGPD)</t>
  </si>
  <si>
    <t xml:space="preserve">RF26  Business listar saques</t>
  </si>
  <si>
    <t xml:space="preserve">RF23  Business listar cobranças</t>
  </si>
  <si>
    <t xml:space="preserve">Avaliação da outra equipe</t>
  </si>
  <si>
    <t xml:space="preserve">Equipe avaliadora:</t>
  </si>
  <si>
    <t xml:space="preserve">Equipe 12 - WorkForge</t>
  </si>
  <si>
    <t xml:space="preserve">Requisito</t>
  </si>
  <si>
    <t xml:space="preserve">Nosso tamanho</t>
  </si>
  <si>
    <t xml:space="preserve">Tamanho sugerido</t>
  </si>
  <si>
    <t xml:space="preserve">Dúvida ou sugestão recebida</t>
  </si>
  <si>
    <t xml:space="preserve">Acatou?</t>
  </si>
  <si>
    <t xml:space="preserve">Tamanho final</t>
  </si>
  <si>
    <t xml:space="preserve">Decisão da equipe</t>
  </si>
  <si>
    <t xml:space="preserve">O cadastro parece só um formulário, M não seria suficiente?</t>
  </si>
  <si>
    <t xml:space="preserve">Não</t>
  </si>
  <si>
    <t xml:space="preserve">O cadastro tem 3 etapas, consulta de CPF e senha com hash. Mantemos L.</t>
  </si>
  <si>
    <t xml:space="preserve">Tem itens, cliente e vários métodos de pagamento, parece maior que XL.</t>
  </si>
  <si>
    <t xml:space="preserve">O fluxo tem 5 etapas, mas as regras já são conhecidas. Mantemos XL.</t>
  </si>
  <si>
    <t xml:space="preserve">O extrato tem exportação?</t>
  </si>
  <si>
    <t xml:space="preserve">Não tem exportação nesta versão, só filtros, paginação e totais. Mantemos L.</t>
  </si>
  <si>
    <t xml:space="preserve">A transferência para o banco é real?</t>
  </si>
  <si>
    <t xml:space="preserve">A transferência é simulada. Só entram a validação do saldo e da chave e o registro do saque. Mantemos XL.</t>
  </si>
  <si>
    <t xml:space="preserve">Se o DICT demorar ou ficar fora do ar, o que acontece?</t>
  </si>
  <si>
    <t xml:space="preserve">Sim</t>
  </si>
  <si>
    <t xml:space="preserve">Acatamos. O tratamento de espera e de nova tentativa dá mais trabalho do que pensamos. Movido para XL.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</si>
</sst>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CC"/>
      </patternFill>
    </fill>
    <fill>
      <patternFill patternType="solid">
        <fgColor rgb="FFFFFFCC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4" min="3" style="0" width="11"/>
    <col collapsed="false" customWidth="true" hidden="false" outlineLevel="0" max="5" min="5" style="0" width="12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5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31.5" hidden="false" customHeight="true" outlineLevel="0" collapsed="false">
      <c r="A5" s="4" t="s">
        <v>8</v>
      </c>
      <c r="B5" s="5" t="s">
        <v>9</v>
      </c>
      <c r="C5" s="4" t="s">
        <v>10</v>
      </c>
      <c r="D5" s="4" t="s">
        <v>10</v>
      </c>
      <c r="E5" s="4" t="s">
        <v>11</v>
      </c>
      <c r="F5" s="6" t="s">
        <v>10</v>
      </c>
    </row>
    <row r="6" customFormat="false" ht="19.5" hidden="false" customHeight="true" outlineLevel="0" collapsed="false">
      <c r="A6" s="4" t="s">
        <v>12</v>
      </c>
      <c r="B6" s="5" t="s">
        <v>13</v>
      </c>
      <c r="C6" s="4" t="s">
        <v>11</v>
      </c>
      <c r="D6" s="4" t="s">
        <v>11</v>
      </c>
      <c r="E6" s="4" t="s">
        <v>14</v>
      </c>
      <c r="F6" s="6" t="s">
        <v>11</v>
      </c>
    </row>
    <row r="7" customFormat="false" ht="31.5" hidden="false" customHeight="true" outlineLevel="0" collapsed="false">
      <c r="A7" s="4" t="s">
        <v>15</v>
      </c>
      <c r="B7" s="5" t="s">
        <v>16</v>
      </c>
      <c r="C7" s="4" t="s">
        <v>17</v>
      </c>
      <c r="D7" s="4" t="s">
        <v>17</v>
      </c>
      <c r="E7" s="4" t="s">
        <v>10</v>
      </c>
      <c r="F7" s="6" t="s">
        <v>17</v>
      </c>
    </row>
    <row r="8" customFormat="false" ht="31.5" hidden="false" customHeight="true" outlineLevel="0" collapsed="false">
      <c r="A8" s="4" t="s">
        <v>18</v>
      </c>
      <c r="B8" s="5" t="s">
        <v>19</v>
      </c>
      <c r="C8" s="4" t="s">
        <v>14</v>
      </c>
      <c r="D8" s="4" t="s">
        <v>11</v>
      </c>
      <c r="E8" s="4" t="s">
        <v>11</v>
      </c>
      <c r="F8" s="6" t="s">
        <v>11</v>
      </c>
    </row>
    <row r="9" customFormat="false" ht="19.5" hidden="false" customHeight="true" outlineLevel="0" collapsed="false">
      <c r="A9" s="4" t="s">
        <v>20</v>
      </c>
      <c r="B9" s="5" t="s">
        <v>21</v>
      </c>
      <c r="C9" s="4" t="s">
        <v>14</v>
      </c>
      <c r="D9" s="4" t="s">
        <v>14</v>
      </c>
      <c r="E9" s="4" t="s">
        <v>14</v>
      </c>
      <c r="F9" s="6" t="s">
        <v>14</v>
      </c>
    </row>
    <row r="10" customFormat="false" ht="19.5" hidden="false" customHeight="true" outlineLevel="0" collapsed="false">
      <c r="A10" s="4" t="s">
        <v>22</v>
      </c>
      <c r="B10" s="5" t="s">
        <v>23</v>
      </c>
      <c r="C10" s="4" t="s">
        <v>24</v>
      </c>
      <c r="D10" s="4" t="s">
        <v>14</v>
      </c>
      <c r="E10" s="4" t="s">
        <v>24</v>
      </c>
      <c r="F10" s="6" t="s">
        <v>24</v>
      </c>
    </row>
    <row r="11" customFormat="false" ht="19.5" hidden="false" customHeight="true" outlineLevel="0" collapsed="false">
      <c r="A11" s="4" t="s">
        <v>25</v>
      </c>
      <c r="B11" s="5" t="s">
        <v>26</v>
      </c>
      <c r="C11" s="4" t="s">
        <v>14</v>
      </c>
      <c r="D11" s="4" t="s">
        <v>24</v>
      </c>
      <c r="E11" s="4" t="s">
        <v>14</v>
      </c>
      <c r="F11" s="6" t="s">
        <v>14</v>
      </c>
    </row>
    <row r="12" customFormat="false" ht="31.5" hidden="false" customHeight="true" outlineLevel="0" collapsed="false">
      <c r="A12" s="4" t="s">
        <v>27</v>
      </c>
      <c r="B12" s="5" t="s">
        <v>28</v>
      </c>
      <c r="C12" s="4" t="s">
        <v>10</v>
      </c>
      <c r="D12" s="4" t="s">
        <v>10</v>
      </c>
      <c r="E12" s="4" t="s">
        <v>17</v>
      </c>
      <c r="F12" s="6" t="s">
        <v>10</v>
      </c>
    </row>
    <row r="13" customFormat="false" ht="31.5" hidden="false" customHeight="true" outlineLevel="0" collapsed="false">
      <c r="A13" s="4" t="s">
        <v>29</v>
      </c>
      <c r="B13" s="5" t="s">
        <v>30</v>
      </c>
      <c r="C13" s="4" t="s">
        <v>17</v>
      </c>
      <c r="D13" s="4" t="s">
        <v>17</v>
      </c>
      <c r="E13" s="4" t="s">
        <v>31</v>
      </c>
      <c r="F13" s="6" t="s">
        <v>17</v>
      </c>
    </row>
    <row r="14" customFormat="false" ht="31.5" hidden="false" customHeight="true" outlineLevel="0" collapsed="false">
      <c r="A14" s="4" t="s">
        <v>32</v>
      </c>
      <c r="B14" s="5" t="s">
        <v>33</v>
      </c>
      <c r="C14" s="4" t="s">
        <v>11</v>
      </c>
      <c r="D14" s="4" t="s">
        <v>11</v>
      </c>
      <c r="E14" s="4" t="s">
        <v>11</v>
      </c>
      <c r="F14" s="6" t="s">
        <v>11</v>
      </c>
    </row>
    <row r="15" customFormat="false" ht="19.5" hidden="false" customHeight="true" outlineLevel="0" collapsed="false">
      <c r="A15" s="4" t="s">
        <v>34</v>
      </c>
      <c r="B15" s="5" t="s">
        <v>35</v>
      </c>
      <c r="C15" s="4" t="s">
        <v>10</v>
      </c>
      <c r="D15" s="4" t="s">
        <v>11</v>
      </c>
      <c r="E15" s="4" t="s">
        <v>10</v>
      </c>
      <c r="F15" s="6" t="s">
        <v>10</v>
      </c>
    </row>
    <row r="16" customFormat="false" ht="31.5" hidden="false" customHeight="true" outlineLevel="0" collapsed="false">
      <c r="A16" s="4" t="s">
        <v>36</v>
      </c>
      <c r="B16" s="5" t="s">
        <v>37</v>
      </c>
      <c r="C16" s="4" t="s">
        <v>31</v>
      </c>
      <c r="D16" s="4" t="s">
        <v>31</v>
      </c>
      <c r="E16" s="4" t="s">
        <v>31</v>
      </c>
      <c r="F16" s="6" t="s">
        <v>31</v>
      </c>
    </row>
    <row r="17" customFormat="false" ht="31.5" hidden="false" customHeight="true" outlineLevel="0" collapsed="false">
      <c r="A17" s="4" t="s">
        <v>38</v>
      </c>
      <c r="B17" s="5" t="s">
        <v>39</v>
      </c>
      <c r="C17" s="4" t="s">
        <v>11</v>
      </c>
      <c r="D17" s="4" t="s">
        <v>11</v>
      </c>
      <c r="E17" s="4" t="s">
        <v>11</v>
      </c>
      <c r="F17" s="6" t="s">
        <v>11</v>
      </c>
    </row>
    <row r="18" customFormat="false" ht="31.5" hidden="false" customHeight="true" outlineLevel="0" collapsed="false">
      <c r="A18" s="4" t="s">
        <v>40</v>
      </c>
      <c r="B18" s="5" t="s">
        <v>41</v>
      </c>
      <c r="C18" s="4" t="s">
        <v>10</v>
      </c>
      <c r="D18" s="4" t="s">
        <v>10</v>
      </c>
      <c r="E18" s="4" t="s">
        <v>11</v>
      </c>
      <c r="F18" s="6" t="s">
        <v>10</v>
      </c>
    </row>
    <row r="19" customFormat="false" ht="31.5" hidden="false" customHeight="true" outlineLevel="0" collapsed="false">
      <c r="A19" s="4" t="s">
        <v>42</v>
      </c>
      <c r="B19" s="5" t="s">
        <v>43</v>
      </c>
      <c r="C19" s="4" t="s">
        <v>17</v>
      </c>
      <c r="D19" s="4" t="s">
        <v>31</v>
      </c>
      <c r="E19" s="4" t="s">
        <v>17</v>
      </c>
      <c r="F19" s="6" t="s">
        <v>17</v>
      </c>
    </row>
    <row r="20" customFormat="false" ht="19.5" hidden="false" customHeight="true" outlineLevel="0" collapsed="false">
      <c r="A20" s="4" t="s">
        <v>44</v>
      </c>
      <c r="B20" s="5" t="s">
        <v>45</v>
      </c>
      <c r="C20" s="4" t="s">
        <v>14</v>
      </c>
      <c r="D20" s="4" t="s">
        <v>11</v>
      </c>
      <c r="E20" s="4" t="s">
        <v>14</v>
      </c>
      <c r="F20" s="6" t="s">
        <v>14</v>
      </c>
    </row>
    <row r="21" customFormat="false" ht="19.5" hidden="false" customHeight="true" outlineLevel="0" collapsed="false">
      <c r="A21" s="4" t="s">
        <v>46</v>
      </c>
      <c r="B21" s="5" t="s">
        <v>47</v>
      </c>
      <c r="C21" s="4" t="s">
        <v>11</v>
      </c>
      <c r="D21" s="4" t="s">
        <v>10</v>
      </c>
      <c r="E21" s="4" t="s">
        <v>11</v>
      </c>
      <c r="F21" s="6" t="s">
        <v>11</v>
      </c>
    </row>
    <row r="22" customFormat="false" ht="19.5" hidden="false" customHeight="true" outlineLevel="0" collapsed="false">
      <c r="A22" s="4" t="s">
        <v>48</v>
      </c>
      <c r="B22" s="5" t="s">
        <v>49</v>
      </c>
      <c r="C22" s="4" t="s">
        <v>11</v>
      </c>
      <c r="D22" s="4" t="s">
        <v>11</v>
      </c>
      <c r="E22" s="4" t="s">
        <v>11</v>
      </c>
      <c r="F22" s="6" t="s">
        <v>11</v>
      </c>
    </row>
    <row r="23" customFormat="false" ht="19.5" hidden="false" customHeight="true" outlineLevel="0" collapsed="false">
      <c r="A23" s="4" t="s">
        <v>50</v>
      </c>
      <c r="B23" s="5" t="s">
        <v>51</v>
      </c>
      <c r="C23" s="4" t="s">
        <v>14</v>
      </c>
      <c r="D23" s="4" t="s">
        <v>14</v>
      </c>
      <c r="E23" s="4" t="s">
        <v>24</v>
      </c>
      <c r="F23" s="6" t="s">
        <v>14</v>
      </c>
    </row>
    <row r="24" customFormat="false" ht="19.5" hidden="false" customHeight="true" outlineLevel="0" collapsed="false">
      <c r="A24" s="4" t="s">
        <v>52</v>
      </c>
      <c r="B24" s="5" t="s">
        <v>53</v>
      </c>
      <c r="C24" s="4" t="s">
        <v>14</v>
      </c>
      <c r="D24" s="4" t="s">
        <v>14</v>
      </c>
      <c r="E24" s="4" t="s">
        <v>14</v>
      </c>
      <c r="F24" s="6" t="s">
        <v>14</v>
      </c>
    </row>
    <row r="25" customFormat="false" ht="19.5" hidden="false" customHeight="true" outlineLevel="0" collapsed="false">
      <c r="A25" s="4" t="s">
        <v>54</v>
      </c>
      <c r="B25" s="5" t="s">
        <v>55</v>
      </c>
      <c r="C25" s="4" t="s">
        <v>11</v>
      </c>
      <c r="D25" s="4" t="s">
        <v>11</v>
      </c>
      <c r="E25" s="4" t="s">
        <v>10</v>
      </c>
      <c r="F25" s="6" t="s">
        <v>11</v>
      </c>
    </row>
    <row r="26" customFormat="false" ht="19.5" hidden="false" customHeight="true" outlineLevel="0" collapsed="false">
      <c r="A26" s="4" t="s">
        <v>56</v>
      </c>
      <c r="B26" s="5" t="s">
        <v>57</v>
      </c>
      <c r="C26" s="4" t="s">
        <v>14</v>
      </c>
      <c r="D26" s="4" t="s">
        <v>14</v>
      </c>
      <c r="E26" s="4" t="s">
        <v>14</v>
      </c>
      <c r="F26" s="6" t="s">
        <v>14</v>
      </c>
    </row>
    <row r="27" customFormat="false" ht="19.5" hidden="false" customHeight="true" outlineLevel="0" collapsed="false">
      <c r="A27" s="4" t="s">
        <v>58</v>
      </c>
      <c r="B27" s="5" t="s">
        <v>59</v>
      </c>
      <c r="C27" s="4" t="s">
        <v>11</v>
      </c>
      <c r="D27" s="4" t="s">
        <v>11</v>
      </c>
      <c r="E27" s="4" t="s">
        <v>14</v>
      </c>
      <c r="F27" s="6" t="s">
        <v>11</v>
      </c>
    </row>
    <row r="28" customFormat="false" ht="19.5" hidden="false" customHeight="true" outlineLevel="0" collapsed="false">
      <c r="A28" s="4" t="s">
        <v>60</v>
      </c>
      <c r="B28" s="5" t="s">
        <v>61</v>
      </c>
      <c r="C28" s="4" t="s">
        <v>14</v>
      </c>
      <c r="D28" s="4" t="s">
        <v>11</v>
      </c>
      <c r="E28" s="4" t="s">
        <v>14</v>
      </c>
      <c r="F28" s="6" t="s">
        <v>14</v>
      </c>
    </row>
    <row r="29" customFormat="false" ht="19.5" hidden="false" customHeight="true" outlineLevel="0" collapsed="false">
      <c r="A29" s="4" t="s">
        <v>62</v>
      </c>
      <c r="B29" s="5" t="s">
        <v>63</v>
      </c>
      <c r="C29" s="4" t="s">
        <v>10</v>
      </c>
      <c r="D29" s="4" t="s">
        <v>10</v>
      </c>
      <c r="E29" s="4" t="s">
        <v>64</v>
      </c>
      <c r="F29" s="6" t="s">
        <v>10</v>
      </c>
    </row>
    <row r="30" customFormat="false" ht="19.5" hidden="false" customHeight="true" outlineLevel="0" collapsed="false">
      <c r="A30" s="4" t="s">
        <v>65</v>
      </c>
      <c r="B30" s="5" t="s">
        <v>66</v>
      </c>
      <c r="C30" s="4" t="s">
        <v>14</v>
      </c>
      <c r="D30" s="4" t="s">
        <v>14</v>
      </c>
      <c r="E30" s="4" t="s">
        <v>24</v>
      </c>
      <c r="F30" s="6" t="s">
        <v>14</v>
      </c>
    </row>
  </sheetData>
  <dataValidations count="1">
    <dataValidation allowBlank="true" error="Use XS, S, M, L, XL ou XXL." errorStyle="warning" operator="between" showDropDown="false" showErrorMessage="true" showInputMessage="false" sqref="C5:F30" type="list">
      <formula1>"XS,S,M,L,XL,XXL,?"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34"/>
  </cols>
  <sheetData>
    <row r="1" customFormat="false" ht="17.35" hidden="false" customHeight="false" outlineLevel="0" collapsed="false">
      <c r="A1" s="1" t="s">
        <v>67</v>
      </c>
    </row>
    <row r="3" customFormat="false" ht="15" hidden="false" customHeight="true" outlineLevel="0" collapsed="false">
      <c r="A3" s="7" t="s">
        <v>68</v>
      </c>
      <c r="B3" s="7"/>
      <c r="C3" s="7"/>
      <c r="D3" s="7"/>
      <c r="E3" s="7"/>
      <c r="F3" s="7"/>
    </row>
    <row r="4" customFormat="false" ht="15" hidden="false" customHeight="false" outlineLevel="0" collapsed="false">
      <c r="A4" s="3" t="s">
        <v>24</v>
      </c>
      <c r="B4" s="3" t="s">
        <v>14</v>
      </c>
      <c r="C4" s="3" t="s">
        <v>11</v>
      </c>
      <c r="D4" s="3" t="s">
        <v>10</v>
      </c>
      <c r="E4" s="3" t="s">
        <v>17</v>
      </c>
      <c r="F4" s="3" t="s">
        <v>31</v>
      </c>
    </row>
    <row r="5" customFormat="false" ht="30" hidden="false" customHeight="true" outlineLevel="0" collapsed="false">
      <c r="A5" s="8" t="s">
        <v>69</v>
      </c>
      <c r="B5" s="8" t="s">
        <v>70</v>
      </c>
      <c r="C5" s="8" t="s">
        <v>71</v>
      </c>
      <c r="D5" s="8" t="s">
        <v>72</v>
      </c>
      <c r="E5" s="8" t="s">
        <v>73</v>
      </c>
      <c r="F5" s="8" t="s">
        <v>74</v>
      </c>
    </row>
    <row r="6" customFormat="false" ht="30" hidden="false" customHeight="true" outlineLevel="0" collapsed="false">
      <c r="A6" s="9"/>
      <c r="B6" s="8" t="s">
        <v>75</v>
      </c>
      <c r="C6" s="8" t="s">
        <v>76</v>
      </c>
      <c r="D6" s="8" t="s">
        <v>77</v>
      </c>
      <c r="E6" s="8" t="s">
        <v>78</v>
      </c>
      <c r="F6" s="9"/>
    </row>
    <row r="7" customFormat="false" ht="30" hidden="false" customHeight="true" outlineLevel="0" collapsed="false">
      <c r="A7" s="9"/>
      <c r="B7" s="8" t="s">
        <v>79</v>
      </c>
      <c r="C7" s="8" t="s">
        <v>80</v>
      </c>
      <c r="D7" s="8" t="s">
        <v>81</v>
      </c>
      <c r="E7" s="8" t="s">
        <v>82</v>
      </c>
      <c r="F7" s="9"/>
    </row>
    <row r="8" customFormat="false" ht="30" hidden="false" customHeight="true" outlineLevel="0" collapsed="false">
      <c r="A8" s="9"/>
      <c r="B8" s="8" t="s">
        <v>83</v>
      </c>
      <c r="C8" s="8" t="s">
        <v>84</v>
      </c>
      <c r="D8" s="8" t="s">
        <v>85</v>
      </c>
      <c r="E8" s="8" t="s">
        <v>86</v>
      </c>
      <c r="F8" s="9"/>
    </row>
    <row r="9" customFormat="false" ht="30" hidden="false" customHeight="true" outlineLevel="0" collapsed="false">
      <c r="A9" s="9"/>
      <c r="B9" s="8" t="s">
        <v>87</v>
      </c>
      <c r="C9" s="8" t="s">
        <v>88</v>
      </c>
      <c r="D9" s="9"/>
      <c r="E9" s="9"/>
      <c r="F9" s="9"/>
    </row>
    <row r="10" customFormat="false" ht="30" hidden="false" customHeight="true" outlineLevel="0" collapsed="false">
      <c r="A10" s="9"/>
      <c r="B10" s="8" t="s">
        <v>89</v>
      </c>
      <c r="C10" s="8" t="s">
        <v>90</v>
      </c>
      <c r="D10" s="9"/>
      <c r="E10" s="9"/>
      <c r="F10" s="9"/>
    </row>
    <row r="11" customFormat="false" ht="30" hidden="false" customHeight="true" outlineLevel="0" collapsed="false">
      <c r="A11" s="9"/>
      <c r="B11" s="8" t="s">
        <v>91</v>
      </c>
      <c r="C11" s="8" t="s">
        <v>92</v>
      </c>
      <c r="D11" s="9"/>
      <c r="E11" s="9"/>
      <c r="F11" s="9"/>
    </row>
    <row r="12" customFormat="false" ht="30" hidden="false" customHeight="true" outlineLevel="0" collapsed="false">
      <c r="A12" s="9"/>
      <c r="B12" s="8" t="s">
        <v>93</v>
      </c>
      <c r="C12" s="8" t="s">
        <v>94</v>
      </c>
      <c r="D12" s="9"/>
      <c r="E12" s="9"/>
      <c r="F12" s="9"/>
    </row>
  </sheetData>
  <mergeCells count="1">
    <mergeCell ref="A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44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42"/>
  </cols>
  <sheetData>
    <row r="1" customFormat="false" ht="17.35" hidden="false" customHeight="false" outlineLevel="0" collapsed="false">
      <c r="A1" s="1" t="s">
        <v>95</v>
      </c>
    </row>
    <row r="2" customFormat="false" ht="15" hidden="false" customHeight="false" outlineLevel="0" collapsed="false">
      <c r="A2" s="10" t="s">
        <v>96</v>
      </c>
      <c r="B2" s="10"/>
      <c r="C2" s="11" t="s">
        <v>97</v>
      </c>
      <c r="D2" s="11"/>
      <c r="E2" s="11"/>
    </row>
    <row r="4" customFormat="false" ht="25.5" hidden="false" customHeight="true" outlineLevel="0" collapsed="false">
      <c r="A4" s="3" t="s">
        <v>2</v>
      </c>
      <c r="B4" s="3" t="s">
        <v>98</v>
      </c>
      <c r="C4" s="3" t="s">
        <v>99</v>
      </c>
      <c r="D4" s="3" t="s">
        <v>100</v>
      </c>
      <c r="E4" s="3" t="s">
        <v>101</v>
      </c>
      <c r="F4" s="3" t="s">
        <v>102</v>
      </c>
      <c r="G4" s="3" t="s">
        <v>103</v>
      </c>
      <c r="H4" s="3" t="s">
        <v>104</v>
      </c>
    </row>
    <row r="5" customFormat="false" ht="31.5" hidden="false" customHeight="true" outlineLevel="0" collapsed="false">
      <c r="A5" s="4" t="s">
        <v>8</v>
      </c>
      <c r="B5" s="5" t="s">
        <v>9</v>
      </c>
      <c r="C5" s="4" t="str">
        <f aca="false">'Quadro individual'!F5</f>
        <v>L</v>
      </c>
      <c r="D5" s="4" t="s">
        <v>11</v>
      </c>
      <c r="E5" s="5" t="s">
        <v>105</v>
      </c>
      <c r="F5" s="4" t="s">
        <v>106</v>
      </c>
      <c r="G5" s="4" t="str">
        <f aca="false">IF(F5="Sim",D5,C5)</f>
        <v>L</v>
      </c>
      <c r="H5" s="5" t="s">
        <v>107</v>
      </c>
    </row>
    <row r="6" customFormat="false" ht="19.5" hidden="false" customHeight="true" outlineLevel="0" collapsed="false">
      <c r="A6" s="4" t="s">
        <v>12</v>
      </c>
      <c r="B6" s="5" t="s">
        <v>13</v>
      </c>
      <c r="C6" s="4" t="str">
        <f aca="false">'Quadro individual'!F6</f>
        <v>M</v>
      </c>
      <c r="D6" s="4"/>
      <c r="E6" s="5"/>
      <c r="F6" s="4"/>
      <c r="G6" s="4" t="str">
        <f aca="false">IF(F6="Sim",D6,C6)</f>
        <v>M</v>
      </c>
      <c r="H6" s="5"/>
    </row>
    <row r="7" customFormat="false" ht="31.5" hidden="false" customHeight="true" outlineLevel="0" collapsed="false">
      <c r="A7" s="4" t="s">
        <v>15</v>
      </c>
      <c r="B7" s="5" t="s">
        <v>16</v>
      </c>
      <c r="C7" s="4" t="str">
        <f aca="false">'Quadro individual'!F7</f>
        <v>XL</v>
      </c>
      <c r="D7" s="4" t="s">
        <v>31</v>
      </c>
      <c r="E7" s="5" t="s">
        <v>108</v>
      </c>
      <c r="F7" s="4" t="s">
        <v>106</v>
      </c>
      <c r="G7" s="4" t="str">
        <f aca="false">IF(F7="Sim",D7,C7)</f>
        <v>XL</v>
      </c>
      <c r="H7" s="5" t="s">
        <v>109</v>
      </c>
    </row>
    <row r="8" customFormat="false" ht="31.5" hidden="false" customHeight="true" outlineLevel="0" collapsed="false">
      <c r="A8" s="4" t="s">
        <v>18</v>
      </c>
      <c r="B8" s="5" t="s">
        <v>19</v>
      </c>
      <c r="C8" s="4" t="str">
        <f aca="false">'Quadro individual'!F8</f>
        <v>M</v>
      </c>
      <c r="D8" s="4"/>
      <c r="E8" s="5"/>
      <c r="F8" s="4"/>
      <c r="G8" s="4" t="str">
        <f aca="false">IF(F8="Sim",D8,C8)</f>
        <v>M</v>
      </c>
      <c r="H8" s="5"/>
    </row>
    <row r="9" customFormat="false" ht="31.5" hidden="false" customHeight="true" outlineLevel="0" collapsed="false">
      <c r="A9" s="4" t="s">
        <v>20</v>
      </c>
      <c r="B9" s="5" t="s">
        <v>21</v>
      </c>
      <c r="C9" s="4" t="str">
        <f aca="false">'Quadro individual'!F9</f>
        <v>S</v>
      </c>
      <c r="D9" s="4"/>
      <c r="E9" s="5"/>
      <c r="F9" s="4"/>
      <c r="G9" s="4" t="str">
        <f aca="false">IF(F9="Sim",D9,C9)</f>
        <v>S</v>
      </c>
      <c r="H9" s="5"/>
    </row>
    <row r="10" customFormat="false" ht="31.5" hidden="false" customHeight="true" outlineLevel="0" collapsed="false">
      <c r="A10" s="4" t="s">
        <v>22</v>
      </c>
      <c r="B10" s="5" t="s">
        <v>23</v>
      </c>
      <c r="C10" s="4" t="str">
        <f aca="false">'Quadro individual'!F10</f>
        <v>XS</v>
      </c>
      <c r="D10" s="4"/>
      <c r="E10" s="5"/>
      <c r="F10" s="4"/>
      <c r="G10" s="4" t="str">
        <f aca="false">IF(F10="Sim",D10,C10)</f>
        <v>XS</v>
      </c>
      <c r="H10" s="5"/>
    </row>
    <row r="11" customFormat="false" ht="19.5" hidden="false" customHeight="true" outlineLevel="0" collapsed="false">
      <c r="A11" s="4" t="s">
        <v>25</v>
      </c>
      <c r="B11" s="5" t="s">
        <v>26</v>
      </c>
      <c r="C11" s="4" t="str">
        <f aca="false">'Quadro individual'!F11</f>
        <v>S</v>
      </c>
      <c r="D11" s="4"/>
      <c r="E11" s="5"/>
      <c r="F11" s="4"/>
      <c r="G11" s="4" t="str">
        <f aca="false">IF(F11="Sim",D11,C11)</f>
        <v>S</v>
      </c>
      <c r="H11" s="5"/>
    </row>
    <row r="12" customFormat="false" ht="31.5" hidden="false" customHeight="true" outlineLevel="0" collapsed="false">
      <c r="A12" s="4" t="s">
        <v>27</v>
      </c>
      <c r="B12" s="5" t="s">
        <v>28</v>
      </c>
      <c r="C12" s="4" t="str">
        <f aca="false">'Quadro individual'!F12</f>
        <v>L</v>
      </c>
      <c r="D12" s="4" t="s">
        <v>17</v>
      </c>
      <c r="E12" s="5" t="s">
        <v>110</v>
      </c>
      <c r="F12" s="4" t="s">
        <v>106</v>
      </c>
      <c r="G12" s="4" t="str">
        <f aca="false">IF(F12="Sim",D12,C12)</f>
        <v>L</v>
      </c>
      <c r="H12" s="5" t="s">
        <v>111</v>
      </c>
    </row>
    <row r="13" customFormat="false" ht="45" hidden="false" customHeight="true" outlineLevel="0" collapsed="false">
      <c r="A13" s="4" t="s">
        <v>29</v>
      </c>
      <c r="B13" s="5" t="s">
        <v>30</v>
      </c>
      <c r="C13" s="4" t="str">
        <f aca="false">'Quadro individual'!F13</f>
        <v>XL</v>
      </c>
      <c r="D13" s="4" t="s">
        <v>31</v>
      </c>
      <c r="E13" s="5" t="s">
        <v>112</v>
      </c>
      <c r="F13" s="4" t="s">
        <v>106</v>
      </c>
      <c r="G13" s="4" t="str">
        <f aca="false">IF(F13="Sim",D13,C13)</f>
        <v>XL</v>
      </c>
      <c r="H13" s="5" t="s">
        <v>113</v>
      </c>
    </row>
    <row r="14" customFormat="false" ht="31.5" hidden="false" customHeight="true" outlineLevel="0" collapsed="false">
      <c r="A14" s="4" t="s">
        <v>32</v>
      </c>
      <c r="B14" s="5" t="s">
        <v>33</v>
      </c>
      <c r="C14" s="4" t="str">
        <f aca="false">'Quadro individual'!F14</f>
        <v>M</v>
      </c>
      <c r="D14" s="4"/>
      <c r="E14" s="5"/>
      <c r="F14" s="4"/>
      <c r="G14" s="4" t="str">
        <f aca="false">IF(F14="Sim",D14,C14)</f>
        <v>M</v>
      </c>
      <c r="H14" s="5"/>
    </row>
    <row r="15" customFormat="false" ht="31.5" hidden="false" customHeight="true" outlineLevel="0" collapsed="false">
      <c r="A15" s="4" t="s">
        <v>34</v>
      </c>
      <c r="B15" s="5" t="s">
        <v>35</v>
      </c>
      <c r="C15" s="4" t="str">
        <f aca="false">'Quadro individual'!F15</f>
        <v>L</v>
      </c>
      <c r="D15" s="4"/>
      <c r="E15" s="5"/>
      <c r="F15" s="4"/>
      <c r="G15" s="4" t="str">
        <f aca="false">IF(F15="Sim",D15,C15)</f>
        <v>L</v>
      </c>
      <c r="H15" s="5"/>
    </row>
    <row r="16" customFormat="false" ht="31.5" hidden="false" customHeight="true" outlineLevel="0" collapsed="false">
      <c r="A16" s="4" t="s">
        <v>36</v>
      </c>
      <c r="B16" s="5" t="s">
        <v>37</v>
      </c>
      <c r="C16" s="4" t="str">
        <f aca="false">'Quadro individual'!F16</f>
        <v>XXL</v>
      </c>
      <c r="D16" s="4"/>
      <c r="E16" s="5"/>
      <c r="F16" s="4"/>
      <c r="G16" s="4" t="str">
        <f aca="false">IF(F16="Sim",D16,C16)</f>
        <v>XXL</v>
      </c>
      <c r="H16" s="5"/>
    </row>
    <row r="17" customFormat="false" ht="31.5" hidden="false" customHeight="true" outlineLevel="0" collapsed="false">
      <c r="A17" s="4" t="s">
        <v>38</v>
      </c>
      <c r="B17" s="5" t="s">
        <v>39</v>
      </c>
      <c r="C17" s="4" t="str">
        <f aca="false">'Quadro individual'!F17</f>
        <v>M</v>
      </c>
      <c r="D17" s="4"/>
      <c r="E17" s="5"/>
      <c r="F17" s="4"/>
      <c r="G17" s="4" t="str">
        <f aca="false">IF(F17="Sim",D17,C17)</f>
        <v>M</v>
      </c>
      <c r="H17" s="5"/>
    </row>
    <row r="18" customFormat="false" ht="31.5" hidden="false" customHeight="true" outlineLevel="0" collapsed="false">
      <c r="A18" s="4" t="s">
        <v>40</v>
      </c>
      <c r="B18" s="5" t="s">
        <v>41</v>
      </c>
      <c r="C18" s="4" t="str">
        <f aca="false">'Quadro individual'!F18</f>
        <v>L</v>
      </c>
      <c r="D18" s="4"/>
      <c r="E18" s="5"/>
      <c r="F18" s="4"/>
      <c r="G18" s="4" t="str">
        <f aca="false">IF(F18="Sim",D18,C18)</f>
        <v>L</v>
      </c>
      <c r="H18" s="5"/>
    </row>
    <row r="19" customFormat="false" ht="31.5" hidden="false" customHeight="true" outlineLevel="0" collapsed="false">
      <c r="A19" s="4" t="s">
        <v>42</v>
      </c>
      <c r="B19" s="5" t="s">
        <v>43</v>
      </c>
      <c r="C19" s="4" t="str">
        <f aca="false">'Quadro individual'!F19</f>
        <v>XL</v>
      </c>
      <c r="D19" s="4"/>
      <c r="E19" s="5"/>
      <c r="F19" s="4"/>
      <c r="G19" s="4" t="str">
        <f aca="false">IF(F19="Sim",D19,C19)</f>
        <v>XL</v>
      </c>
      <c r="H19" s="5"/>
    </row>
    <row r="20" customFormat="false" ht="19.5" hidden="false" customHeight="true" outlineLevel="0" collapsed="false">
      <c r="A20" s="4" t="s">
        <v>44</v>
      </c>
      <c r="B20" s="5" t="s">
        <v>45</v>
      </c>
      <c r="C20" s="4" t="str">
        <f aca="false">'Quadro individual'!F20</f>
        <v>S</v>
      </c>
      <c r="D20" s="4"/>
      <c r="E20" s="5"/>
      <c r="F20" s="4"/>
      <c r="G20" s="4" t="str">
        <f aca="false">IF(F20="Sim",D20,C20)</f>
        <v>S</v>
      </c>
      <c r="H20" s="5"/>
    </row>
    <row r="21" customFormat="false" ht="19.5" hidden="false" customHeight="true" outlineLevel="0" collapsed="false">
      <c r="A21" s="4" t="s">
        <v>46</v>
      </c>
      <c r="B21" s="5" t="s">
        <v>47</v>
      </c>
      <c r="C21" s="4" t="str">
        <f aca="false">'Quadro individual'!F21</f>
        <v>M</v>
      </c>
      <c r="D21" s="4"/>
      <c r="E21" s="5"/>
      <c r="F21" s="4"/>
      <c r="G21" s="4" t="str">
        <f aca="false">IF(F21="Sim",D21,C21)</f>
        <v>M</v>
      </c>
      <c r="H21" s="5"/>
    </row>
    <row r="22" customFormat="false" ht="19.5" hidden="false" customHeight="true" outlineLevel="0" collapsed="false">
      <c r="A22" s="4" t="s">
        <v>48</v>
      </c>
      <c r="B22" s="5" t="s">
        <v>49</v>
      </c>
      <c r="C22" s="4" t="str">
        <f aca="false">'Quadro individual'!F22</f>
        <v>M</v>
      </c>
      <c r="D22" s="4"/>
      <c r="E22" s="5"/>
      <c r="F22" s="4"/>
      <c r="G22" s="4" t="str">
        <f aca="false">IF(F22="Sim",D22,C22)</f>
        <v>M</v>
      </c>
      <c r="H22" s="5"/>
    </row>
    <row r="23" customFormat="false" ht="19.5" hidden="false" customHeight="true" outlineLevel="0" collapsed="false">
      <c r="A23" s="4" t="s">
        <v>50</v>
      </c>
      <c r="B23" s="5" t="s">
        <v>51</v>
      </c>
      <c r="C23" s="4" t="str">
        <f aca="false">'Quadro individual'!F23</f>
        <v>S</v>
      </c>
      <c r="D23" s="4"/>
      <c r="E23" s="5"/>
      <c r="F23" s="4"/>
      <c r="G23" s="4" t="str">
        <f aca="false">IF(F23="Sim",D23,C23)</f>
        <v>S</v>
      </c>
      <c r="H23" s="5"/>
    </row>
    <row r="24" customFormat="false" ht="19.5" hidden="false" customHeight="true" outlineLevel="0" collapsed="false">
      <c r="A24" s="4" t="s">
        <v>52</v>
      </c>
      <c r="B24" s="5" t="s">
        <v>53</v>
      </c>
      <c r="C24" s="4" t="str">
        <f aca="false">'Quadro individual'!F24</f>
        <v>S</v>
      </c>
      <c r="D24" s="4"/>
      <c r="E24" s="5"/>
      <c r="F24" s="4"/>
      <c r="G24" s="4" t="str">
        <f aca="false">IF(F24="Sim",D24,C24)</f>
        <v>S</v>
      </c>
      <c r="H24" s="5"/>
    </row>
    <row r="25" customFormat="false" ht="19.5" hidden="false" customHeight="true" outlineLevel="0" collapsed="false">
      <c r="A25" s="4" t="s">
        <v>54</v>
      </c>
      <c r="B25" s="5" t="s">
        <v>55</v>
      </c>
      <c r="C25" s="4" t="str">
        <f aca="false">'Quadro individual'!F25</f>
        <v>M</v>
      </c>
      <c r="D25" s="4"/>
      <c r="E25" s="5"/>
      <c r="F25" s="4"/>
      <c r="G25" s="4" t="str">
        <f aca="false">IF(F25="Sim",D25,C25)</f>
        <v>M</v>
      </c>
      <c r="H25" s="5"/>
    </row>
    <row r="26" customFormat="false" ht="19.5" hidden="false" customHeight="true" outlineLevel="0" collapsed="false">
      <c r="A26" s="4" t="s">
        <v>56</v>
      </c>
      <c r="B26" s="5" t="s">
        <v>57</v>
      </c>
      <c r="C26" s="4" t="str">
        <f aca="false">'Quadro individual'!F26</f>
        <v>S</v>
      </c>
      <c r="D26" s="4"/>
      <c r="E26" s="5"/>
      <c r="F26" s="4"/>
      <c r="G26" s="4" t="str">
        <f aca="false">IF(F26="Sim",D26,C26)</f>
        <v>S</v>
      </c>
      <c r="H26" s="5"/>
    </row>
    <row r="27" customFormat="false" ht="19.5" hidden="false" customHeight="true" outlineLevel="0" collapsed="false">
      <c r="A27" s="4" t="s">
        <v>58</v>
      </c>
      <c r="B27" s="5" t="s">
        <v>59</v>
      </c>
      <c r="C27" s="4" t="str">
        <f aca="false">'Quadro individual'!F27</f>
        <v>M</v>
      </c>
      <c r="D27" s="4"/>
      <c r="E27" s="5"/>
      <c r="F27" s="4"/>
      <c r="G27" s="4" t="str">
        <f aca="false">IF(F27="Sim",D27,C27)</f>
        <v>M</v>
      </c>
      <c r="H27" s="5"/>
    </row>
    <row r="28" customFormat="false" ht="19.5" hidden="false" customHeight="true" outlineLevel="0" collapsed="false">
      <c r="A28" s="4" t="s">
        <v>60</v>
      </c>
      <c r="B28" s="5" t="s">
        <v>61</v>
      </c>
      <c r="C28" s="4" t="str">
        <f aca="false">'Quadro individual'!F28</f>
        <v>S</v>
      </c>
      <c r="D28" s="4"/>
      <c r="E28" s="5"/>
      <c r="F28" s="4"/>
      <c r="G28" s="4" t="str">
        <f aca="false">IF(F28="Sim",D28,C28)</f>
        <v>S</v>
      </c>
      <c r="H28" s="5"/>
    </row>
    <row r="29" customFormat="false" ht="45" hidden="false" customHeight="true" outlineLevel="0" collapsed="false">
      <c r="A29" s="4" t="s">
        <v>62</v>
      </c>
      <c r="B29" s="5" t="s">
        <v>63</v>
      </c>
      <c r="C29" s="4" t="str">
        <f aca="false">'Quadro individual'!F29</f>
        <v>L</v>
      </c>
      <c r="D29" s="4" t="s">
        <v>17</v>
      </c>
      <c r="E29" s="5" t="s">
        <v>114</v>
      </c>
      <c r="F29" s="4" t="s">
        <v>115</v>
      </c>
      <c r="G29" s="4" t="str">
        <f aca="false">IF(F29="Sim",D29,C29)</f>
        <v>XL</v>
      </c>
      <c r="H29" s="5" t="s">
        <v>116</v>
      </c>
    </row>
    <row r="30" customFormat="false" ht="19.5" hidden="false" customHeight="true" outlineLevel="0" collapsed="false">
      <c r="A30" s="4" t="s">
        <v>65</v>
      </c>
      <c r="B30" s="5" t="s">
        <v>66</v>
      </c>
      <c r="C30" s="4" t="str">
        <f aca="false">'Quadro individual'!F30</f>
        <v>S</v>
      </c>
      <c r="D30" s="4"/>
      <c r="E30" s="5"/>
      <c r="F30" s="4"/>
      <c r="G30" s="4" t="str">
        <f aca="false">IF(F30="Sim",D30,C30)</f>
        <v>S</v>
      </c>
      <c r="H30" s="5"/>
    </row>
  </sheetData>
  <mergeCells count="2">
    <mergeCell ref="A2:B2"/>
    <mergeCell ref="C2:E2"/>
  </mergeCells>
  <dataValidations count="2">
    <dataValidation allowBlank="true" error="Use XS, S, M, L, XL ou XXL." errorStyle="warning" operator="between" showDropDown="false" showErrorMessage="true" showInputMessage="false" sqref="D5:D30" type="list">
      <formula1>"XS,S,M,L,XL,XXL"</formula1>
      <formula2>0</formula2>
    </dataValidation>
    <dataValidation allowBlank="true" error="Escolha Sim ou Não." errorStyle="stop" operator="between" showDropDown="false" showErrorMessage="true" showInputMessage="false" sqref="F5:F30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2026-10-28T22:19:22Z</dcterms:created>
  <dc:creator>Eduardo Lourenço da Silva</dc:creator>
  <dc:description/>
  <dc:language>en-US</dc:language>
  <cp:lastModifiedBy>Eduardo Lourenço da Silva</cp:lastModifiedBy>
  <dcterms:modified xsi:type="dcterms:W3CDTF">2026-10-28T22:19:22Z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