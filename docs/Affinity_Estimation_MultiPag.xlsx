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udu-mac/Projects/puc-core/docs/"/>
    </mc:Choice>
  </mc:AlternateContent>
  <xr:revisionPtr revIDLastSave="0" documentId="13_ncr:1_{AF852E63-54BD-4441-B450-7D97AC456C5A}" xr6:coauthVersionLast="47" xr6:coauthVersionMax="47" xr10:uidLastSave="{00000000-0000-0000-0000-000000000000}"/>
  <bookViews>
    <workbookView xWindow="0" yWindow="640" windowWidth="27100" windowHeight="15720" tabRatio="500" xr2:uid="{00000000-000D-0000-FFFF-FFFF00000000}"/>
  </bookViews>
  <sheets>
    <sheet name="Quadro individual" sheetId="1" r:id="rId1"/>
    <sheet name="Mural da equipe" sheetId="2" r:id="rId2"/>
    <sheet name="Avaliação da outra equip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3" l="1"/>
  <c r="G30" i="3" s="1"/>
  <c r="G29" i="3"/>
  <c r="C29" i="3"/>
  <c r="C28" i="3"/>
  <c r="G28" i="3" s="1"/>
  <c r="C27" i="3"/>
  <c r="G27" i="3" s="1"/>
  <c r="C26" i="3"/>
  <c r="G26" i="3" s="1"/>
  <c r="C25" i="3"/>
  <c r="G25" i="3" s="1"/>
  <c r="C24" i="3"/>
  <c r="G24" i="3" s="1"/>
  <c r="C23" i="3"/>
  <c r="G23" i="3" s="1"/>
  <c r="C22" i="3"/>
  <c r="G22" i="3" s="1"/>
  <c r="C21" i="3"/>
  <c r="G21" i="3" s="1"/>
  <c r="C20" i="3"/>
  <c r="G20" i="3" s="1"/>
  <c r="C19" i="3"/>
  <c r="G19" i="3" s="1"/>
  <c r="C18" i="3"/>
  <c r="G18" i="3" s="1"/>
  <c r="G17" i="3"/>
  <c r="C17" i="3"/>
  <c r="C16" i="3"/>
  <c r="G16" i="3" s="1"/>
  <c r="C15" i="3"/>
  <c r="G15" i="3" s="1"/>
  <c r="C14" i="3"/>
  <c r="G14" i="3" s="1"/>
  <c r="G13" i="3"/>
  <c r="C13" i="3"/>
  <c r="C12" i="3"/>
  <c r="G12" i="3" s="1"/>
  <c r="C11" i="3"/>
  <c r="G11" i="3" s="1"/>
  <c r="C10" i="3"/>
  <c r="G10" i="3" s="1"/>
  <c r="G9" i="3"/>
  <c r="C9" i="3"/>
  <c r="C8" i="3"/>
  <c r="G8" i="3" s="1"/>
  <c r="C7" i="3"/>
  <c r="G7" i="3" s="1"/>
  <c r="C6" i="3"/>
  <c r="G6" i="3" s="1"/>
  <c r="C5" i="3"/>
  <c r="G5" i="3" s="1"/>
</calcChain>
</file>

<file path=xl/sharedStrings.xml><?xml version="1.0" encoding="utf-8"?>
<sst xmlns="http://schemas.openxmlformats.org/spreadsheetml/2006/main" count="280" uniqueCount="116">
  <si>
    <t>Affinity Estimation: MultiPag</t>
  </si>
  <si>
    <t>ID</t>
  </si>
  <si>
    <t>Requisito funcional</t>
  </si>
  <si>
    <t>Eduardo</t>
  </si>
  <si>
    <t>Gabriel</t>
  </si>
  <si>
    <t>João Pedro</t>
  </si>
  <si>
    <t>Equipe (após discussão)</t>
  </si>
  <si>
    <t>RF01</t>
  </si>
  <si>
    <t>Cadastro do business com nome/responsável, e-mail, CPF, data de nascimento e senha</t>
  </si>
  <si>
    <t>L</t>
  </si>
  <si>
    <t>M</t>
  </si>
  <si>
    <t>RF02</t>
  </si>
  <si>
    <t>Login do business com e-mail e senha</t>
  </si>
  <si>
    <t>S</t>
  </si>
  <si>
    <t>RF03</t>
  </si>
  <si>
    <t>Criar cobrança informando valor, descrição e cliente destinatário</t>
  </si>
  <si>
    <t>XL</t>
  </si>
  <si>
    <t>RF04</t>
  </si>
  <si>
    <t>Configurar, por cobrança, os métodos de pagamento aceitos (Pix, cartão, boleto, cripto)</t>
  </si>
  <si>
    <t>RF05</t>
  </si>
  <si>
    <t>Gerar um link único de pagamento para cada cobrança</t>
  </si>
  <si>
    <t>RF06</t>
  </si>
  <si>
    <t>Enviar/disponibilizar ao cliente o link da cobrança</t>
  </si>
  <si>
    <t>XS</t>
  </si>
  <si>
    <t>RF07</t>
  </si>
  <si>
    <t>Visualizar o saldo disponível em reais</t>
  </si>
  <si>
    <t>RF08</t>
  </si>
  <si>
    <t>Consultar o extrato de movimentações (pagamentos recebidos)</t>
  </si>
  <si>
    <t>RF09</t>
  </si>
  <si>
    <t>Solicitar saque do saldo disponível, exclusivamente via Pix</t>
  </si>
  <si>
    <t>XXL</t>
  </si>
  <si>
    <t>RF10</t>
  </si>
  <si>
    <t>Cliente acessar e visualizar a cobrança a partir do link recebido</t>
  </si>
  <si>
    <t>RF11</t>
  </si>
  <si>
    <t>Cliente pagar a cobrança como convidado, informando o CPF</t>
  </si>
  <si>
    <t>RF12</t>
  </si>
  <si>
    <t>Cliente pagar por qualquer método habilitado pelo business (Pix, cartão, boleto ou cripto)</t>
  </si>
  <si>
    <t>RF13</t>
  </si>
  <si>
    <t>Cadastro opcional de conta de cliente (e-mail, CPF e senha)</t>
  </si>
  <si>
    <t>RF14</t>
  </si>
  <si>
    <t>Cliente logado visualizar as cobranças vinculadas ao seu CPF, de qualquer business</t>
  </si>
  <si>
    <t>RF15</t>
  </si>
  <si>
    <t>Atualizar o status da cobrança automaticamente após a confirmação do pagamento</t>
  </si>
  <si>
    <t>RF16</t>
  </si>
  <si>
    <t>Business alterar os dados da sua conta</t>
  </si>
  <si>
    <t>RF17</t>
  </si>
  <si>
    <t>Business excluir a própria conta</t>
  </si>
  <si>
    <t>RF18</t>
  </si>
  <si>
    <t>Business alterar uma cobrança pendente</t>
  </si>
  <si>
    <t>RF19</t>
  </si>
  <si>
    <t>Business cancelar uma cobrança pendente</t>
  </si>
  <si>
    <t>RF20</t>
  </si>
  <si>
    <t>Cliente alterar os dados da sua conta</t>
  </si>
  <si>
    <t>RF21</t>
  </si>
  <si>
    <t>Cliente excluir a própria conta (LGPD)</t>
  </si>
  <si>
    <t>RF22</t>
  </si>
  <si>
    <t>Cliente consultar o resultado do pagamento</t>
  </si>
  <si>
    <t>RF23</t>
  </si>
  <si>
    <t>Business listar as cobranças que emitiu</t>
  </si>
  <si>
    <t>RF24</t>
  </si>
  <si>
    <t>Business consultar os detalhes de uma cobrança</t>
  </si>
  <si>
    <t>RF25</t>
  </si>
  <si>
    <t>Validar a chave Pix de destino do saque no DICT</t>
  </si>
  <si>
    <t>?</t>
  </si>
  <si>
    <t>RF26</t>
  </si>
  <si>
    <t>Business listar os saques recentes</t>
  </si>
  <si>
    <t>Mural da equipe</t>
  </si>
  <si>
    <t>Menor  →  Maior</t>
  </si>
  <si>
    <t>RF06  Enviar o link ao cliente</t>
  </si>
  <si>
    <t>RF05  Link único de pagamento</t>
  </si>
  <si>
    <t>RF02  Login do business</t>
  </si>
  <si>
    <t>RF01  Cadastro do business</t>
  </si>
  <si>
    <t>RF03  Criar cobrança</t>
  </si>
  <si>
    <t>RF12  Pagar por qualquer método</t>
  </si>
  <si>
    <t>RF07  Saldo disponível</t>
  </si>
  <si>
    <t>RF04  Métodos de pagamento da cobrança</t>
  </si>
  <si>
    <t>RF08  Extrato de movimentações</t>
  </si>
  <si>
    <t>RF09  Saque via Pix</t>
  </si>
  <si>
    <t>RF16  Business alterar dados da conta</t>
  </si>
  <si>
    <t>RF10  Cliente abrir a cobrança pelo link</t>
  </si>
  <si>
    <t>RF11  Pagar como convidado (CPF)</t>
  </si>
  <si>
    <t>RF15  Atualizar status após pagamento</t>
  </si>
  <si>
    <t>RF19  Cancelar cobrança pendente</t>
  </si>
  <si>
    <t>RF13  Cadastro de conta do cliente</t>
  </si>
  <si>
    <t>RF14  Cobranças do cliente por CPF</t>
  </si>
  <si>
    <t>RF25  Validar chave Pix no DICT</t>
  </si>
  <si>
    <t>RF20  Cliente alterar dados da conta</t>
  </si>
  <si>
    <t>RF17  Business excluir a conta</t>
  </si>
  <si>
    <t>RF22  Resultado do pagamento</t>
  </si>
  <si>
    <t>RF18  Alterar cobrança pendente</t>
  </si>
  <si>
    <t>RF24  Detalhes de uma cobrança</t>
  </si>
  <si>
    <t>RF21  Cliente excluir a conta (LGPD)</t>
  </si>
  <si>
    <t>RF26  Business listar saques</t>
  </si>
  <si>
    <t>RF23  Business listar cobranças</t>
  </si>
  <si>
    <t>Avaliação da outra equipe</t>
  </si>
  <si>
    <t>Equipe avaliadora:</t>
  </si>
  <si>
    <t>Equipe 12 - WorkForge</t>
  </si>
  <si>
    <t>Requisito</t>
  </si>
  <si>
    <t>Nosso tamanho</t>
  </si>
  <si>
    <t>Tamanho sugerido</t>
  </si>
  <si>
    <t>Dúvida ou sugestão recebida</t>
  </si>
  <si>
    <t>Acatou?</t>
  </si>
  <si>
    <t>Tamanho final</t>
  </si>
  <si>
    <t>Decisão da equipe</t>
  </si>
  <si>
    <t>O cadastro parece só um formulário, M não seria suficiente?</t>
  </si>
  <si>
    <t>Não</t>
  </si>
  <si>
    <t>O cadastro tem 3 etapas, consulta de CPF e senha com hash. Mantemos L.</t>
  </si>
  <si>
    <t>Tem itens, cliente e vários métodos de pagamento, parece maior que XL.</t>
  </si>
  <si>
    <t>O fluxo tem 5 etapas, mas as regras já são conhecidas. Mantemos XL.</t>
  </si>
  <si>
    <t>O extrato tem exportação?</t>
  </si>
  <si>
    <t>Não tem exportação nesta versão, só filtros, paginação e totais. Mantemos L.</t>
  </si>
  <si>
    <t>A transferência para o banco é real?</t>
  </si>
  <si>
    <t>A transferência é simulada. Só entram a validação do saldo e da chave e o registro do saque. Mantemos XL.</t>
  </si>
  <si>
    <t>Se o DICT demorar ou ficar fora do ar, o que acontece?</t>
  </si>
  <si>
    <t>Sim</t>
  </si>
  <si>
    <t>Acatamos. O tratamento de espera e de nova tentativa dá mais trabalho do que pensamos. Movido para XL.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</si>
</sst>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595959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4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6640625" defaultRowHeight="15" x14ac:dyDescent="0.2"/>
  <cols>
    <col min="1" max="1" width="7" customWidth="1"/>
    <col min="2" max="2" width="52" customWidth="1"/>
    <col min="3" max="4" width="11" customWidth="1"/>
    <col min="5" max="5" width="12" customWidth="1"/>
    <col min="6" max="6" width="16" customWidth="1"/>
  </cols>
  <sheetData>
    <row r="1" spans="1:6" ht="18" x14ac:dyDescent="0.2">
      <c r="A1" s="4" t="s">
        <v>0</v>
      </c>
    </row>
    <row r="2" spans="1:6" x14ac:dyDescent="0.2">
      <c r="A2" s="5"/>
    </row>
    <row r="4" spans="1:6" ht="25.5" customHeight="1" x14ac:dyDescent="0.2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1:6" ht="31.5" customHeight="1" x14ac:dyDescent="0.2">
      <c r="A5" s="7" t="s">
        <v>7</v>
      </c>
      <c r="B5" s="8" t="s">
        <v>8</v>
      </c>
      <c r="C5" s="7" t="s">
        <v>9</v>
      </c>
      <c r="D5" s="7" t="s">
        <v>9</v>
      </c>
      <c r="E5" s="7" t="s">
        <v>10</v>
      </c>
      <c r="F5" s="9" t="s">
        <v>9</v>
      </c>
    </row>
    <row r="6" spans="1:6" ht="19.5" customHeight="1" x14ac:dyDescent="0.2">
      <c r="A6" s="7" t="s">
        <v>11</v>
      </c>
      <c r="B6" s="8" t="s">
        <v>12</v>
      </c>
      <c r="C6" s="7" t="s">
        <v>10</v>
      </c>
      <c r="D6" s="7" t="s">
        <v>10</v>
      </c>
      <c r="E6" s="7" t="s">
        <v>13</v>
      </c>
      <c r="F6" s="9" t="s">
        <v>10</v>
      </c>
    </row>
    <row r="7" spans="1:6" ht="31.5" customHeight="1" x14ac:dyDescent="0.2">
      <c r="A7" s="7" t="s">
        <v>14</v>
      </c>
      <c r="B7" s="8" t="s">
        <v>15</v>
      </c>
      <c r="C7" s="7" t="s">
        <v>16</v>
      </c>
      <c r="D7" s="7" t="s">
        <v>16</v>
      </c>
      <c r="E7" s="7" t="s">
        <v>9</v>
      </c>
      <c r="F7" s="9" t="s">
        <v>16</v>
      </c>
    </row>
    <row r="8" spans="1:6" ht="31.5" customHeight="1" x14ac:dyDescent="0.2">
      <c r="A8" s="7" t="s">
        <v>17</v>
      </c>
      <c r="B8" s="8" t="s">
        <v>18</v>
      </c>
      <c r="C8" s="7" t="s">
        <v>13</v>
      </c>
      <c r="D8" s="7" t="s">
        <v>10</v>
      </c>
      <c r="E8" s="7" t="s">
        <v>10</v>
      </c>
      <c r="F8" s="9" t="s">
        <v>10</v>
      </c>
    </row>
    <row r="9" spans="1:6" ht="19.5" customHeight="1" x14ac:dyDescent="0.2">
      <c r="A9" s="7" t="s">
        <v>19</v>
      </c>
      <c r="B9" s="8" t="s">
        <v>20</v>
      </c>
      <c r="C9" s="7" t="s">
        <v>13</v>
      </c>
      <c r="D9" s="7" t="s">
        <v>13</v>
      </c>
      <c r="E9" s="7" t="s">
        <v>13</v>
      </c>
      <c r="F9" s="9" t="s">
        <v>13</v>
      </c>
    </row>
    <row r="10" spans="1:6" ht="19.5" customHeight="1" x14ac:dyDescent="0.2">
      <c r="A10" s="7" t="s">
        <v>21</v>
      </c>
      <c r="B10" s="8" t="s">
        <v>22</v>
      </c>
      <c r="C10" s="7" t="s">
        <v>23</v>
      </c>
      <c r="D10" s="7" t="s">
        <v>13</v>
      </c>
      <c r="E10" s="7" t="s">
        <v>23</v>
      </c>
      <c r="F10" s="9" t="s">
        <v>23</v>
      </c>
    </row>
    <row r="11" spans="1:6" ht="19.5" customHeight="1" x14ac:dyDescent="0.2">
      <c r="A11" s="7" t="s">
        <v>24</v>
      </c>
      <c r="B11" s="8" t="s">
        <v>25</v>
      </c>
      <c r="C11" s="7" t="s">
        <v>13</v>
      </c>
      <c r="D11" s="7" t="s">
        <v>23</v>
      </c>
      <c r="E11" s="7" t="s">
        <v>13</v>
      </c>
      <c r="F11" s="9" t="s">
        <v>13</v>
      </c>
    </row>
    <row r="12" spans="1:6" ht="31.5" customHeight="1" x14ac:dyDescent="0.2">
      <c r="A12" s="7" t="s">
        <v>26</v>
      </c>
      <c r="B12" s="8" t="s">
        <v>27</v>
      </c>
      <c r="C12" s="7" t="s">
        <v>9</v>
      </c>
      <c r="D12" s="7" t="s">
        <v>9</v>
      </c>
      <c r="E12" s="7" t="s">
        <v>16</v>
      </c>
      <c r="F12" s="9" t="s">
        <v>9</v>
      </c>
    </row>
    <row r="13" spans="1:6" ht="31.5" customHeight="1" x14ac:dyDescent="0.2">
      <c r="A13" s="7" t="s">
        <v>28</v>
      </c>
      <c r="B13" s="8" t="s">
        <v>29</v>
      </c>
      <c r="C13" s="7" t="s">
        <v>16</v>
      </c>
      <c r="D13" s="7" t="s">
        <v>16</v>
      </c>
      <c r="E13" s="7" t="s">
        <v>30</v>
      </c>
      <c r="F13" s="9" t="s">
        <v>16</v>
      </c>
    </row>
    <row r="14" spans="1:6" ht="31.5" customHeight="1" x14ac:dyDescent="0.2">
      <c r="A14" s="7" t="s">
        <v>31</v>
      </c>
      <c r="B14" s="8" t="s">
        <v>32</v>
      </c>
      <c r="C14" s="7" t="s">
        <v>10</v>
      </c>
      <c r="D14" s="7" t="s">
        <v>10</v>
      </c>
      <c r="E14" s="7" t="s">
        <v>10</v>
      </c>
      <c r="F14" s="9" t="s">
        <v>10</v>
      </c>
    </row>
    <row r="15" spans="1:6" ht="19.5" customHeight="1" x14ac:dyDescent="0.2">
      <c r="A15" s="7" t="s">
        <v>33</v>
      </c>
      <c r="B15" s="8" t="s">
        <v>34</v>
      </c>
      <c r="C15" s="7" t="s">
        <v>9</v>
      </c>
      <c r="D15" s="7" t="s">
        <v>10</v>
      </c>
      <c r="E15" s="7" t="s">
        <v>9</v>
      </c>
      <c r="F15" s="9" t="s">
        <v>9</v>
      </c>
    </row>
    <row r="16" spans="1:6" ht="31.5" customHeight="1" x14ac:dyDescent="0.2">
      <c r="A16" s="7" t="s">
        <v>35</v>
      </c>
      <c r="B16" s="8" t="s">
        <v>36</v>
      </c>
      <c r="C16" s="7" t="s">
        <v>30</v>
      </c>
      <c r="D16" s="7" t="s">
        <v>30</v>
      </c>
      <c r="E16" s="7" t="s">
        <v>30</v>
      </c>
      <c r="F16" s="9" t="s">
        <v>30</v>
      </c>
    </row>
    <row r="17" spans="1:6" ht="31.5" customHeight="1" x14ac:dyDescent="0.2">
      <c r="A17" s="7" t="s">
        <v>37</v>
      </c>
      <c r="B17" s="8" t="s">
        <v>38</v>
      </c>
      <c r="C17" s="7" t="s">
        <v>10</v>
      </c>
      <c r="D17" s="7" t="s">
        <v>10</v>
      </c>
      <c r="E17" s="7" t="s">
        <v>10</v>
      </c>
      <c r="F17" s="9" t="s">
        <v>10</v>
      </c>
    </row>
    <row r="18" spans="1:6" ht="31.5" customHeight="1" x14ac:dyDescent="0.2">
      <c r="A18" s="7" t="s">
        <v>39</v>
      </c>
      <c r="B18" s="8" t="s">
        <v>40</v>
      </c>
      <c r="C18" s="7" t="s">
        <v>9</v>
      </c>
      <c r="D18" s="7" t="s">
        <v>9</v>
      </c>
      <c r="E18" s="7" t="s">
        <v>10</v>
      </c>
      <c r="F18" s="9" t="s">
        <v>9</v>
      </c>
    </row>
    <row r="19" spans="1:6" ht="31.5" customHeight="1" x14ac:dyDescent="0.2">
      <c r="A19" s="7" t="s">
        <v>41</v>
      </c>
      <c r="B19" s="8" t="s">
        <v>42</v>
      </c>
      <c r="C19" s="7" t="s">
        <v>16</v>
      </c>
      <c r="D19" s="7" t="s">
        <v>30</v>
      </c>
      <c r="E19" s="7" t="s">
        <v>16</v>
      </c>
      <c r="F19" s="9" t="s">
        <v>16</v>
      </c>
    </row>
    <row r="20" spans="1:6" ht="19.5" customHeight="1" x14ac:dyDescent="0.2">
      <c r="A20" s="7" t="s">
        <v>43</v>
      </c>
      <c r="B20" s="8" t="s">
        <v>44</v>
      </c>
      <c r="C20" s="7" t="s">
        <v>13</v>
      </c>
      <c r="D20" s="7" t="s">
        <v>10</v>
      </c>
      <c r="E20" s="7" t="s">
        <v>13</v>
      </c>
      <c r="F20" s="9" t="s">
        <v>13</v>
      </c>
    </row>
    <row r="21" spans="1:6" ht="19.5" customHeight="1" x14ac:dyDescent="0.2">
      <c r="A21" s="7" t="s">
        <v>45</v>
      </c>
      <c r="B21" s="8" t="s">
        <v>46</v>
      </c>
      <c r="C21" s="7" t="s">
        <v>10</v>
      </c>
      <c r="D21" s="7" t="s">
        <v>9</v>
      </c>
      <c r="E21" s="7" t="s">
        <v>10</v>
      </c>
      <c r="F21" s="9" t="s">
        <v>10</v>
      </c>
    </row>
    <row r="22" spans="1:6" ht="19.5" customHeight="1" x14ac:dyDescent="0.2">
      <c r="A22" s="7" t="s">
        <v>47</v>
      </c>
      <c r="B22" s="8" t="s">
        <v>48</v>
      </c>
      <c r="C22" s="7" t="s">
        <v>10</v>
      </c>
      <c r="D22" s="7" t="s">
        <v>10</v>
      </c>
      <c r="E22" s="7" t="s">
        <v>10</v>
      </c>
      <c r="F22" s="9" t="s">
        <v>10</v>
      </c>
    </row>
    <row r="23" spans="1:6" ht="19.5" customHeight="1" x14ac:dyDescent="0.2">
      <c r="A23" s="7" t="s">
        <v>49</v>
      </c>
      <c r="B23" s="8" t="s">
        <v>50</v>
      </c>
      <c r="C23" s="7" t="s">
        <v>13</v>
      </c>
      <c r="D23" s="7" t="s">
        <v>13</v>
      </c>
      <c r="E23" s="7" t="s">
        <v>23</v>
      </c>
      <c r="F23" s="9" t="s">
        <v>13</v>
      </c>
    </row>
    <row r="24" spans="1:6" ht="19.5" customHeight="1" x14ac:dyDescent="0.2">
      <c r="A24" s="7" t="s">
        <v>51</v>
      </c>
      <c r="B24" s="8" t="s">
        <v>52</v>
      </c>
      <c r="C24" s="7" t="s">
        <v>13</v>
      </c>
      <c r="D24" s="7" t="s">
        <v>13</v>
      </c>
      <c r="E24" s="7" t="s">
        <v>13</v>
      </c>
      <c r="F24" s="9" t="s">
        <v>13</v>
      </c>
    </row>
    <row r="25" spans="1:6" ht="19.5" customHeight="1" x14ac:dyDescent="0.2">
      <c r="A25" s="7" t="s">
        <v>53</v>
      </c>
      <c r="B25" s="8" t="s">
        <v>54</v>
      </c>
      <c r="C25" s="7" t="s">
        <v>10</v>
      </c>
      <c r="D25" s="7" t="s">
        <v>10</v>
      </c>
      <c r="E25" s="7" t="s">
        <v>9</v>
      </c>
      <c r="F25" s="9" t="s">
        <v>10</v>
      </c>
    </row>
    <row r="26" spans="1:6" ht="19.5" customHeight="1" x14ac:dyDescent="0.2">
      <c r="A26" s="7" t="s">
        <v>55</v>
      </c>
      <c r="B26" s="8" t="s">
        <v>56</v>
      </c>
      <c r="C26" s="7" t="s">
        <v>13</v>
      </c>
      <c r="D26" s="7" t="s">
        <v>13</v>
      </c>
      <c r="E26" s="7" t="s">
        <v>13</v>
      </c>
      <c r="F26" s="9" t="s">
        <v>13</v>
      </c>
    </row>
    <row r="27" spans="1:6" ht="19.5" customHeight="1" x14ac:dyDescent="0.2">
      <c r="A27" s="7" t="s">
        <v>57</v>
      </c>
      <c r="B27" s="8" t="s">
        <v>58</v>
      </c>
      <c r="C27" s="7" t="s">
        <v>10</v>
      </c>
      <c r="D27" s="7" t="s">
        <v>10</v>
      </c>
      <c r="E27" s="7" t="s">
        <v>13</v>
      </c>
      <c r="F27" s="9" t="s">
        <v>10</v>
      </c>
    </row>
    <row r="28" spans="1:6" ht="19.5" customHeight="1" x14ac:dyDescent="0.2">
      <c r="A28" s="7" t="s">
        <v>59</v>
      </c>
      <c r="B28" s="8" t="s">
        <v>60</v>
      </c>
      <c r="C28" s="7" t="s">
        <v>13</v>
      </c>
      <c r="D28" s="7" t="s">
        <v>10</v>
      </c>
      <c r="E28" s="7" t="s">
        <v>13</v>
      </c>
      <c r="F28" s="9" t="s">
        <v>13</v>
      </c>
    </row>
    <row r="29" spans="1:6" ht="19.5" customHeight="1" x14ac:dyDescent="0.2">
      <c r="A29" s="7" t="s">
        <v>61</v>
      </c>
      <c r="B29" s="8" t="s">
        <v>62</v>
      </c>
      <c r="C29" s="7" t="s">
        <v>9</v>
      </c>
      <c r="D29" s="7" t="s">
        <v>9</v>
      </c>
      <c r="E29" s="7" t="s">
        <v>63</v>
      </c>
      <c r="F29" s="9" t="s">
        <v>9</v>
      </c>
    </row>
    <row r="30" spans="1:6" ht="19.5" customHeight="1" x14ac:dyDescent="0.2">
      <c r="A30" s="7" t="s">
        <v>64</v>
      </c>
      <c r="B30" s="8" t="s">
        <v>65</v>
      </c>
      <c r="C30" s="7" t="s">
        <v>13</v>
      </c>
      <c r="D30" s="7" t="s">
        <v>13</v>
      </c>
      <c r="E30" s="7" t="s">
        <v>23</v>
      </c>
      <c r="F30" s="9" t="s">
        <v>13</v>
      </c>
    </row>
  </sheetData>
  <dataValidations count="1">
    <dataValidation type="list" errorStyle="warning" allowBlank="1" showErrorMessage="1" error="Use XS, S, M, L, XL ou XXL." sqref="C5:F30" xr:uid="{00000000-0002-0000-0000-000000000000}">
      <formula1>"XS,S,M,L,XL,XXL,?"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6" width="34" customWidth="1"/>
  </cols>
  <sheetData>
    <row r="1" spans="1:6" ht="18" x14ac:dyDescent="0.2">
      <c r="A1" s="4" t="s">
        <v>66</v>
      </c>
    </row>
    <row r="3" spans="1:6" ht="15" customHeight="1" x14ac:dyDescent="0.2">
      <c r="A3" s="3" t="s">
        <v>67</v>
      </c>
      <c r="B3" s="3"/>
      <c r="C3" s="3"/>
      <c r="D3" s="3"/>
      <c r="E3" s="3"/>
      <c r="F3" s="3"/>
    </row>
    <row r="4" spans="1:6" x14ac:dyDescent="0.2">
      <c r="A4" s="6" t="s">
        <v>23</v>
      </c>
      <c r="B4" s="6" t="s">
        <v>13</v>
      </c>
      <c r="C4" s="6" t="s">
        <v>10</v>
      </c>
      <c r="D4" s="6" t="s">
        <v>9</v>
      </c>
      <c r="E4" s="6" t="s">
        <v>16</v>
      </c>
      <c r="F4" s="6" t="s">
        <v>30</v>
      </c>
    </row>
    <row r="5" spans="1:6" ht="30" customHeight="1" x14ac:dyDescent="0.2">
      <c r="A5" s="10" t="s">
        <v>68</v>
      </c>
      <c r="B5" s="10" t="s">
        <v>69</v>
      </c>
      <c r="C5" s="10" t="s">
        <v>70</v>
      </c>
      <c r="D5" s="10" t="s">
        <v>71</v>
      </c>
      <c r="E5" s="10" t="s">
        <v>72</v>
      </c>
      <c r="F5" s="10" t="s">
        <v>73</v>
      </c>
    </row>
    <row r="6" spans="1:6" ht="30" customHeight="1" x14ac:dyDescent="0.2">
      <c r="A6" s="11"/>
      <c r="B6" s="10" t="s">
        <v>74</v>
      </c>
      <c r="C6" s="10" t="s">
        <v>75</v>
      </c>
      <c r="D6" s="10" t="s">
        <v>76</v>
      </c>
      <c r="E6" s="10" t="s">
        <v>77</v>
      </c>
      <c r="F6" s="11"/>
    </row>
    <row r="7" spans="1:6" ht="30" customHeight="1" x14ac:dyDescent="0.2">
      <c r="A7" s="11"/>
      <c r="B7" s="10" t="s">
        <v>78</v>
      </c>
      <c r="C7" s="10" t="s">
        <v>79</v>
      </c>
      <c r="D7" s="10" t="s">
        <v>80</v>
      </c>
      <c r="E7" s="10" t="s">
        <v>81</v>
      </c>
      <c r="F7" s="11"/>
    </row>
    <row r="8" spans="1:6" ht="30" customHeight="1" x14ac:dyDescent="0.2">
      <c r="A8" s="11"/>
      <c r="B8" s="10" t="s">
        <v>82</v>
      </c>
      <c r="C8" s="10" t="s">
        <v>83</v>
      </c>
      <c r="D8" s="10" t="s">
        <v>84</v>
      </c>
      <c r="E8" s="10" t="s">
        <v>85</v>
      </c>
      <c r="F8" s="11"/>
    </row>
    <row r="9" spans="1:6" ht="30" customHeight="1" x14ac:dyDescent="0.2">
      <c r="A9" s="11"/>
      <c r="B9" s="10" t="s">
        <v>86</v>
      </c>
      <c r="C9" s="10" t="s">
        <v>87</v>
      </c>
      <c r="D9" s="11"/>
      <c r="E9" s="11"/>
      <c r="F9" s="11"/>
    </row>
    <row r="10" spans="1:6" ht="30" customHeight="1" x14ac:dyDescent="0.2">
      <c r="A10" s="11"/>
      <c r="B10" s="10" t="s">
        <v>88</v>
      </c>
      <c r="C10" s="10" t="s">
        <v>89</v>
      </c>
      <c r="D10" s="11"/>
      <c r="E10" s="11"/>
      <c r="F10" s="11"/>
    </row>
    <row r="11" spans="1:6" ht="30" customHeight="1" x14ac:dyDescent="0.2">
      <c r="A11" s="11"/>
      <c r="B11" s="10" t="s">
        <v>90</v>
      </c>
      <c r="C11" s="10" t="s">
        <v>91</v>
      </c>
      <c r="D11" s="11"/>
      <c r="E11" s="11"/>
      <c r="F11" s="11"/>
    </row>
    <row r="12" spans="1:6" ht="30" customHeight="1" x14ac:dyDescent="0.2">
      <c r="A12" s="11"/>
      <c r="B12" s="10" t="s">
        <v>92</v>
      </c>
      <c r="C12" s="10" t="s">
        <v>93</v>
      </c>
      <c r="D12" s="11"/>
      <c r="E12" s="11"/>
      <c r="F12" s="11"/>
    </row>
  </sheetData>
  <mergeCells count="1">
    <mergeCell ref="A3:F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7" customWidth="1"/>
    <col min="2" max="2" width="46" customWidth="1"/>
    <col min="3" max="4" width="12" customWidth="1"/>
    <col min="5" max="5" width="44" customWidth="1"/>
    <col min="6" max="6" width="10" customWidth="1"/>
    <col min="7" max="7" width="12" customWidth="1"/>
    <col min="8" max="8" width="42" customWidth="1"/>
  </cols>
  <sheetData>
    <row r="1" spans="1:8" ht="18" x14ac:dyDescent="0.2">
      <c r="A1" s="4" t="s">
        <v>94</v>
      </c>
    </row>
    <row r="2" spans="1:8" x14ac:dyDescent="0.2">
      <c r="A2" s="2" t="s">
        <v>95</v>
      </c>
      <c r="B2" s="2"/>
      <c r="C2" s="1" t="s">
        <v>96</v>
      </c>
      <c r="D2" s="1"/>
      <c r="E2" s="1"/>
    </row>
    <row r="4" spans="1:8" ht="25.5" customHeight="1" x14ac:dyDescent="0.2">
      <c r="A4" s="6" t="s">
        <v>1</v>
      </c>
      <c r="B4" s="6" t="s">
        <v>97</v>
      </c>
      <c r="C4" s="6" t="s">
        <v>98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</row>
    <row r="5" spans="1:8" ht="31.5" customHeight="1" x14ac:dyDescent="0.2">
      <c r="A5" s="7" t="s">
        <v>7</v>
      </c>
      <c r="B5" s="8" t="s">
        <v>8</v>
      </c>
      <c r="C5" s="7" t="str">
        <f>'Quadro individual'!F5</f>
        <v>L</v>
      </c>
      <c r="D5" s="7" t="s">
        <v>10</v>
      </c>
      <c r="E5" s="8" t="s">
        <v>104</v>
      </c>
      <c r="F5" s="7" t="s">
        <v>105</v>
      </c>
      <c r="G5" s="7" t="str">
        <f t="shared" ref="G5:G30" si="0">IF(F5="Sim",D5,C5)</f>
        <v>L</v>
      </c>
      <c r="H5" s="8" t="s">
        <v>106</v>
      </c>
    </row>
    <row r="6" spans="1:8" ht="19.5" customHeight="1" x14ac:dyDescent="0.2">
      <c r="A6" s="7" t="s">
        <v>11</v>
      </c>
      <c r="B6" s="8" t="s">
        <v>12</v>
      </c>
      <c r="C6" s="7" t="str">
        <f>'Quadro individual'!F6</f>
        <v>M</v>
      </c>
      <c r="D6" s="7"/>
      <c r="E6" s="8"/>
      <c r="F6" s="7"/>
      <c r="G6" s="7" t="str">
        <f t="shared" si="0"/>
        <v>M</v>
      </c>
      <c r="H6" s="8"/>
    </row>
    <row r="7" spans="1:8" ht="31.5" customHeight="1" x14ac:dyDescent="0.2">
      <c r="A7" s="7" t="s">
        <v>14</v>
      </c>
      <c r="B7" s="8" t="s">
        <v>15</v>
      </c>
      <c r="C7" s="7" t="str">
        <f>'Quadro individual'!F7</f>
        <v>XL</v>
      </c>
      <c r="D7" s="7" t="s">
        <v>30</v>
      </c>
      <c r="E7" s="8" t="s">
        <v>107</v>
      </c>
      <c r="F7" s="7" t="s">
        <v>105</v>
      </c>
      <c r="G7" s="7" t="str">
        <f t="shared" si="0"/>
        <v>XL</v>
      </c>
      <c r="H7" s="8" t="s">
        <v>108</v>
      </c>
    </row>
    <row r="8" spans="1:8" ht="31.5" customHeight="1" x14ac:dyDescent="0.2">
      <c r="A8" s="7" t="s">
        <v>17</v>
      </c>
      <c r="B8" s="8" t="s">
        <v>18</v>
      </c>
      <c r="C8" s="7" t="str">
        <f>'Quadro individual'!F8</f>
        <v>M</v>
      </c>
      <c r="D8" s="7"/>
      <c r="E8" s="8"/>
      <c r="F8" s="7"/>
      <c r="G8" s="7" t="str">
        <f t="shared" si="0"/>
        <v>M</v>
      </c>
      <c r="H8" s="8"/>
    </row>
    <row r="9" spans="1:8" ht="31.5" customHeight="1" x14ac:dyDescent="0.2">
      <c r="A9" s="7" t="s">
        <v>19</v>
      </c>
      <c r="B9" s="8" t="s">
        <v>20</v>
      </c>
      <c r="C9" s="7" t="str">
        <f>'Quadro individual'!F9</f>
        <v>S</v>
      </c>
      <c r="D9" s="7"/>
      <c r="E9" s="8"/>
      <c r="F9" s="7"/>
      <c r="G9" s="7" t="str">
        <f t="shared" si="0"/>
        <v>S</v>
      </c>
      <c r="H9" s="8"/>
    </row>
    <row r="10" spans="1:8" ht="31.5" customHeight="1" x14ac:dyDescent="0.2">
      <c r="A10" s="7" t="s">
        <v>21</v>
      </c>
      <c r="B10" s="8" t="s">
        <v>22</v>
      </c>
      <c r="C10" s="7" t="str">
        <f>'Quadro individual'!F10</f>
        <v>XS</v>
      </c>
      <c r="D10" s="7"/>
      <c r="E10" s="8"/>
      <c r="F10" s="7"/>
      <c r="G10" s="7" t="str">
        <f t="shared" si="0"/>
        <v>XS</v>
      </c>
      <c r="H10" s="8"/>
    </row>
    <row r="11" spans="1:8" ht="19.5" customHeight="1" x14ac:dyDescent="0.2">
      <c r="A11" s="7" t="s">
        <v>24</v>
      </c>
      <c r="B11" s="8" t="s">
        <v>25</v>
      </c>
      <c r="C11" s="7" t="str">
        <f>'Quadro individual'!F11</f>
        <v>S</v>
      </c>
      <c r="D11" s="7"/>
      <c r="E11" s="8"/>
      <c r="F11" s="7"/>
      <c r="G11" s="7" t="str">
        <f t="shared" si="0"/>
        <v>S</v>
      </c>
      <c r="H11" s="8"/>
    </row>
    <row r="12" spans="1:8" ht="31.5" customHeight="1" x14ac:dyDescent="0.2">
      <c r="A12" s="7" t="s">
        <v>26</v>
      </c>
      <c r="B12" s="8" t="s">
        <v>27</v>
      </c>
      <c r="C12" s="7" t="str">
        <f>'Quadro individual'!F12</f>
        <v>L</v>
      </c>
      <c r="D12" s="7" t="s">
        <v>16</v>
      </c>
      <c r="E12" s="8" t="s">
        <v>109</v>
      </c>
      <c r="F12" s="7" t="s">
        <v>105</v>
      </c>
      <c r="G12" s="7" t="str">
        <f t="shared" si="0"/>
        <v>L</v>
      </c>
      <c r="H12" s="8" t="s">
        <v>110</v>
      </c>
    </row>
    <row r="13" spans="1:8" ht="45" customHeight="1" x14ac:dyDescent="0.2">
      <c r="A13" s="7" t="s">
        <v>28</v>
      </c>
      <c r="B13" s="8" t="s">
        <v>29</v>
      </c>
      <c r="C13" s="7" t="str">
        <f>'Quadro individual'!F13</f>
        <v>XL</v>
      </c>
      <c r="D13" s="7" t="s">
        <v>30</v>
      </c>
      <c r="E13" s="8" t="s">
        <v>111</v>
      </c>
      <c r="F13" s="7" t="s">
        <v>105</v>
      </c>
      <c r="G13" s="7" t="str">
        <f t="shared" si="0"/>
        <v>XL</v>
      </c>
      <c r="H13" s="8" t="s">
        <v>112</v>
      </c>
    </row>
    <row r="14" spans="1:8" ht="31.5" customHeight="1" x14ac:dyDescent="0.2">
      <c r="A14" s="7" t="s">
        <v>31</v>
      </c>
      <c r="B14" s="8" t="s">
        <v>32</v>
      </c>
      <c r="C14" s="7" t="str">
        <f>'Quadro individual'!F14</f>
        <v>M</v>
      </c>
      <c r="D14" s="7"/>
      <c r="E14" s="8"/>
      <c r="F14" s="7"/>
      <c r="G14" s="7" t="str">
        <f t="shared" si="0"/>
        <v>M</v>
      </c>
      <c r="H14" s="8"/>
    </row>
    <row r="15" spans="1:8" ht="31.5" customHeight="1" x14ac:dyDescent="0.2">
      <c r="A15" s="7" t="s">
        <v>33</v>
      </c>
      <c r="B15" s="8" t="s">
        <v>34</v>
      </c>
      <c r="C15" s="7" t="str">
        <f>'Quadro individual'!F15</f>
        <v>L</v>
      </c>
      <c r="D15" s="7"/>
      <c r="E15" s="8"/>
      <c r="F15" s="7"/>
      <c r="G15" s="7" t="str">
        <f t="shared" si="0"/>
        <v>L</v>
      </c>
      <c r="H15" s="8"/>
    </row>
    <row r="16" spans="1:8" ht="31.5" customHeight="1" x14ac:dyDescent="0.2">
      <c r="A16" s="7" t="s">
        <v>35</v>
      </c>
      <c r="B16" s="8" t="s">
        <v>36</v>
      </c>
      <c r="C16" s="7" t="str">
        <f>'Quadro individual'!F16</f>
        <v>XXL</v>
      </c>
      <c r="D16" s="7"/>
      <c r="E16" s="8"/>
      <c r="F16" s="7"/>
      <c r="G16" s="7" t="str">
        <f t="shared" si="0"/>
        <v>XXL</v>
      </c>
      <c r="H16" s="8"/>
    </row>
    <row r="17" spans="1:8" ht="31.5" customHeight="1" x14ac:dyDescent="0.2">
      <c r="A17" s="7" t="s">
        <v>37</v>
      </c>
      <c r="B17" s="8" t="s">
        <v>38</v>
      </c>
      <c r="C17" s="7" t="str">
        <f>'Quadro individual'!F17</f>
        <v>M</v>
      </c>
      <c r="D17" s="7"/>
      <c r="E17" s="8"/>
      <c r="F17" s="7"/>
      <c r="G17" s="7" t="str">
        <f t="shared" si="0"/>
        <v>M</v>
      </c>
      <c r="H17" s="8"/>
    </row>
    <row r="18" spans="1:8" ht="31.5" customHeight="1" x14ac:dyDescent="0.2">
      <c r="A18" s="7" t="s">
        <v>39</v>
      </c>
      <c r="B18" s="8" t="s">
        <v>40</v>
      </c>
      <c r="C18" s="7" t="str">
        <f>'Quadro individual'!F18</f>
        <v>L</v>
      </c>
      <c r="D18" s="7"/>
      <c r="E18" s="8"/>
      <c r="F18" s="7"/>
      <c r="G18" s="7" t="str">
        <f t="shared" si="0"/>
        <v>L</v>
      </c>
      <c r="H18" s="8"/>
    </row>
    <row r="19" spans="1:8" ht="31.5" customHeight="1" x14ac:dyDescent="0.2">
      <c r="A19" s="7" t="s">
        <v>41</v>
      </c>
      <c r="B19" s="8" t="s">
        <v>42</v>
      </c>
      <c r="C19" s="7" t="str">
        <f>'Quadro individual'!F19</f>
        <v>XL</v>
      </c>
      <c r="D19" s="7"/>
      <c r="E19" s="8"/>
      <c r="F19" s="7"/>
      <c r="G19" s="7" t="str">
        <f t="shared" si="0"/>
        <v>XL</v>
      </c>
      <c r="H19" s="8"/>
    </row>
    <row r="20" spans="1:8" ht="19.5" customHeight="1" x14ac:dyDescent="0.2">
      <c r="A20" s="7" t="s">
        <v>43</v>
      </c>
      <c r="B20" s="8" t="s">
        <v>44</v>
      </c>
      <c r="C20" s="7" t="str">
        <f>'Quadro individual'!F20</f>
        <v>S</v>
      </c>
      <c r="D20" s="7"/>
      <c r="E20" s="8"/>
      <c r="F20" s="7"/>
      <c r="G20" s="7" t="str">
        <f t="shared" si="0"/>
        <v>S</v>
      </c>
      <c r="H20" s="8"/>
    </row>
    <row r="21" spans="1:8" ht="19.5" customHeight="1" x14ac:dyDescent="0.2">
      <c r="A21" s="7" t="s">
        <v>45</v>
      </c>
      <c r="B21" s="8" t="s">
        <v>46</v>
      </c>
      <c r="C21" s="7" t="str">
        <f>'Quadro individual'!F21</f>
        <v>M</v>
      </c>
      <c r="D21" s="7"/>
      <c r="E21" s="8"/>
      <c r="F21" s="7"/>
      <c r="G21" s="7" t="str">
        <f t="shared" si="0"/>
        <v>M</v>
      </c>
      <c r="H21" s="8"/>
    </row>
    <row r="22" spans="1:8" ht="19.5" customHeight="1" x14ac:dyDescent="0.2">
      <c r="A22" s="7" t="s">
        <v>47</v>
      </c>
      <c r="B22" s="8" t="s">
        <v>48</v>
      </c>
      <c r="C22" s="7" t="str">
        <f>'Quadro individual'!F22</f>
        <v>M</v>
      </c>
      <c r="D22" s="7"/>
      <c r="E22" s="8"/>
      <c r="F22" s="7"/>
      <c r="G22" s="7" t="str">
        <f t="shared" si="0"/>
        <v>M</v>
      </c>
      <c r="H22" s="8"/>
    </row>
    <row r="23" spans="1:8" ht="19.5" customHeight="1" x14ac:dyDescent="0.2">
      <c r="A23" s="7" t="s">
        <v>49</v>
      </c>
      <c r="B23" s="8" t="s">
        <v>50</v>
      </c>
      <c r="C23" s="7" t="str">
        <f>'Quadro individual'!F23</f>
        <v>S</v>
      </c>
      <c r="D23" s="7"/>
      <c r="E23" s="8"/>
      <c r="F23" s="7"/>
      <c r="G23" s="7" t="str">
        <f t="shared" si="0"/>
        <v>S</v>
      </c>
      <c r="H23" s="8"/>
    </row>
    <row r="24" spans="1:8" ht="19.5" customHeight="1" x14ac:dyDescent="0.2">
      <c r="A24" s="7" t="s">
        <v>51</v>
      </c>
      <c r="B24" s="8" t="s">
        <v>52</v>
      </c>
      <c r="C24" s="7" t="str">
        <f>'Quadro individual'!F24</f>
        <v>S</v>
      </c>
      <c r="D24" s="7"/>
      <c r="E24" s="8"/>
      <c r="F24" s="7"/>
      <c r="G24" s="7" t="str">
        <f t="shared" si="0"/>
        <v>S</v>
      </c>
      <c r="H24" s="8"/>
    </row>
    <row r="25" spans="1:8" ht="19.5" customHeight="1" x14ac:dyDescent="0.2">
      <c r="A25" s="7" t="s">
        <v>53</v>
      </c>
      <c r="B25" s="8" t="s">
        <v>54</v>
      </c>
      <c r="C25" s="7" t="str">
        <f>'Quadro individual'!F25</f>
        <v>M</v>
      </c>
      <c r="D25" s="7"/>
      <c r="E25" s="8"/>
      <c r="F25" s="7"/>
      <c r="G25" s="7" t="str">
        <f t="shared" si="0"/>
        <v>M</v>
      </c>
      <c r="H25" s="8"/>
    </row>
    <row r="26" spans="1:8" ht="19.5" customHeight="1" x14ac:dyDescent="0.2">
      <c r="A26" s="7" t="s">
        <v>55</v>
      </c>
      <c r="B26" s="8" t="s">
        <v>56</v>
      </c>
      <c r="C26" s="7" t="str">
        <f>'Quadro individual'!F26</f>
        <v>S</v>
      </c>
      <c r="D26" s="7"/>
      <c r="E26" s="8"/>
      <c r="F26" s="7"/>
      <c r="G26" s="7" t="str">
        <f t="shared" si="0"/>
        <v>S</v>
      </c>
      <c r="H26" s="8"/>
    </row>
    <row r="27" spans="1:8" ht="19.5" customHeight="1" x14ac:dyDescent="0.2">
      <c r="A27" s="7" t="s">
        <v>57</v>
      </c>
      <c r="B27" s="8" t="s">
        <v>58</v>
      </c>
      <c r="C27" s="7" t="str">
        <f>'Quadro individual'!F27</f>
        <v>M</v>
      </c>
      <c r="D27" s="7"/>
      <c r="E27" s="8"/>
      <c r="F27" s="7"/>
      <c r="G27" s="7" t="str">
        <f t="shared" si="0"/>
        <v>M</v>
      </c>
      <c r="H27" s="8"/>
    </row>
    <row r="28" spans="1:8" ht="19.5" customHeight="1" x14ac:dyDescent="0.2">
      <c r="A28" s="7" t="s">
        <v>59</v>
      </c>
      <c r="B28" s="8" t="s">
        <v>60</v>
      </c>
      <c r="C28" s="7" t="str">
        <f>'Quadro individual'!F28</f>
        <v>S</v>
      </c>
      <c r="D28" s="7"/>
      <c r="E28" s="8"/>
      <c r="F28" s="7"/>
      <c r="G28" s="7" t="str">
        <f t="shared" si="0"/>
        <v>S</v>
      </c>
      <c r="H28" s="8"/>
    </row>
    <row r="29" spans="1:8" ht="45" customHeight="1" x14ac:dyDescent="0.2">
      <c r="A29" s="7" t="s">
        <v>61</v>
      </c>
      <c r="B29" s="8" t="s">
        <v>62</v>
      </c>
      <c r="C29" s="7" t="str">
        <f>'Quadro individual'!F29</f>
        <v>L</v>
      </c>
      <c r="D29" s="7" t="s">
        <v>16</v>
      </c>
      <c r="E29" s="8" t="s">
        <v>113</v>
      </c>
      <c r="F29" s="7" t="s">
        <v>114</v>
      </c>
      <c r="G29" s="7" t="str">
        <f t="shared" si="0"/>
        <v>XL</v>
      </c>
      <c r="H29" s="8" t="s">
        <v>115</v>
      </c>
    </row>
    <row r="30" spans="1:8" ht="19.5" customHeight="1" x14ac:dyDescent="0.2">
      <c r="A30" s="7" t="s">
        <v>64</v>
      </c>
      <c r="B30" s="8" t="s">
        <v>65</v>
      </c>
      <c r="C30" s="7" t="str">
        <f>'Quadro individual'!F30</f>
        <v>S</v>
      </c>
      <c r="D30" s="7"/>
      <c r="E30" s="8"/>
      <c r="F30" s="7"/>
      <c r="G30" s="7" t="str">
        <f t="shared" si="0"/>
        <v>S</v>
      </c>
      <c r="H30" s="8"/>
    </row>
  </sheetData>
  <mergeCells count="2">
    <mergeCell ref="A2:B2"/>
    <mergeCell ref="C2:E2"/>
  </mergeCells>
  <dataValidations count="2">
    <dataValidation type="list" errorStyle="warning" allowBlank="1" showErrorMessage="1" error="Use XS, S, M, L, XL ou XXL." sqref="D5:D30" xr:uid="{00000000-0002-0000-0200-000000000000}">
      <formula1>"XS,S,M,L,XL,XXL"</formula1>
      <formula2>0</formula2>
    </dataValidation>
    <dataValidation type="list" allowBlank="1" showErrorMessage="1" error="Escolha Sim ou Não." sqref="F5:F30" xr:uid="{00000000-0002-0000-0200-000001000000}">
      <formula1>"Sim,Não"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 individual</vt:lpstr>
      <vt:lpstr>Mural da equipe</vt:lpstr>
      <vt:lpstr>Avaliação da outra equipe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Lourenço da Silva</dc:creator>
  <dc:description/>
  <cp:lastModifiedBy>Eduardo Lourenco da Silva</cp:lastModifiedBy>
  <cp:revision>0</cp:revision>
  <dcterms:created xsi:type="dcterms:W3CDTF">2026-10-28T22:19:22Z</dcterms:created>
  <dcterms:modified xsi:type="dcterms:W3CDTF">2026-10-28T22:30:06Z</dcterms:modified>
  <dc:language>en-US</dc:language>
</cp:coreProperties>
</file>