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UCP Não Ajustado" sheetId="1" state="visible" r:id="rId3"/>
    <sheet name="FCT" sheetId="2" state="visible" r:id="rId4"/>
    <sheet name="FCA" sheetId="3" state="visible" r:id="rId5"/>
    <sheet name="UCP AJUSTAD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<sst xmlns="http://schemas.openxmlformats.org/spreadsheetml/2006/main" count="110" uniqueCount="95">
  <si>
    <t xml:space="preserve">Tipo de Ator</t>
  </si>
  <si>
    <t xml:space="preserve">Peso</t>
  </si>
  <si>
    <t xml:space="preserve">Nº de Atores</t>
  </si>
  <si>
    <t xml:space="preserve">Resultado</t>
  </si>
  <si>
    <t xml:space="preserve">Tipo</t>
  </si>
  <si>
    <t xml:space="preserve">Nº Caso de Uso</t>
  </si>
  <si>
    <t xml:space="preserve">Ator Simples</t>
  </si>
  <si>
    <t xml:space="preserve">Simples</t>
  </si>
  <si>
    <t xml:space="preserve">Ator Médio</t>
  </si>
  <si>
    <t xml:space="preserve">Médio</t>
  </si>
  <si>
    <t xml:space="preserve">Ator Complexo</t>
  </si>
  <si>
    <t xml:space="preserve">Complexo</t>
  </si>
  <si>
    <t xml:space="preserve">Total UAW</t>
  </si>
  <si>
    <t xml:space="preserve">Total UUCW</t>
  </si>
  <si>
    <t xml:space="preserve">UUCP</t>
  </si>
  <si>
    <t xml:space="preserve">ID</t>
  </si>
  <si>
    <t xml:space="preserve">DESCRIÇÃO</t>
  </si>
  <si>
    <t xml:space="preserve">PESO</t>
  </si>
  <si>
    <t xml:space="preserve">NOTA</t>
  </si>
  <si>
    <t xml:space="preserve">RESULTADO</t>
  </si>
  <si>
    <t xml:space="preserve">JUSTIFICATIVA</t>
  </si>
  <si>
    <t xml:space="preserve">CALCULO TCF</t>
  </si>
  <si>
    <t xml:space="preserve">T1</t>
  </si>
  <si>
    <t xml:space="preserve">Sistema Distribuído</t>
  </si>
  <si>
    <t xml:space="preserve">O MultiPag é uma aplicação web centralizada, mas depende da integração com sistemas externos (gateways de Pix, cartão, boleto e criptomoedas), exigindo alguma comunicação distribuída entre serviços.</t>
  </si>
  <si>
    <t xml:space="preserve">T2</t>
  </si>
  <si>
    <t xml:space="preserve">Objetivos de desempenho e tempo de resposta</t>
  </si>
  <si>
    <t xml:space="preserve">É uma plataforma de cobrança online que precisa responder rápido durante o fluxo de pagamento para não prejudicar a experiência do cliente, mas não exige processamento em tempo real crítico.</t>
  </si>
  <si>
    <t xml:space="preserve">T3</t>
  </si>
  <si>
    <t xml:space="preserve">Eficiência do usuário final (on-line)</t>
  </si>
  <si>
    <t xml:space="preserve">O fluxo de criação e pagamento de cobranças foi desenhado para ser curto e direto, tanto para o lojista quanto para o cliente convidado, reduzindo etapas para não impactar a conversão.</t>
  </si>
  <si>
    <t xml:space="preserve">T4</t>
  </si>
  <si>
    <t xml:space="preserve">Complexidade interna de processamento</t>
  </si>
  <si>
    <t xml:space="preserve">O sistema trata múltiplos métodos de pagamento, controle de status da cobrança e movimentações de saldo, exigindo alguma lógica de negócio, mas sem algoritmos matematicamente complexos.</t>
  </si>
  <si>
    <t xml:space="preserve">T5</t>
  </si>
  <si>
    <t xml:space="preserve">Código deve ser reutilizado</t>
  </si>
  <si>
    <t xml:space="preserve">O MultiPag não é uma solução white label; o reaproveitamento de código se concentra nos artefatos de reuso da disciplina, como o schema de banco e a especificação de API, não na aplicação inteira.</t>
  </si>
  <si>
    <t xml:space="preserve">T6</t>
  </si>
  <si>
    <t xml:space="preserve">Facilidade de instalação</t>
  </si>
  <si>
    <t xml:space="preserve">Por ser um sistema web em nuvem, tanto o lojista quanto o cliente acessam a plataforma pelo navegador, sem qualquer instalação.</t>
  </si>
  <si>
    <t xml:space="preserve">T7</t>
  </si>
  <si>
    <t xml:space="preserve">Facilidade de uso</t>
  </si>
  <si>
    <t xml:space="preserve">As telas de cadastro, criação de cobrança e pagamento seguem um fluxo guiado e padrões visuais consistentes, facilitando o uso mesmo por clientes convidados que nunca acessaram a plataforma.</t>
  </si>
  <si>
    <t xml:space="preserve">T8</t>
  </si>
  <si>
    <t xml:space="preserve">Portabilidade</t>
  </si>
  <si>
    <t xml:space="preserve">Por rodar no navegador, a plataforma funciona em diferentes sistemas operacionais e dispositivos sem adaptação de código.</t>
  </si>
  <si>
    <t xml:space="preserve">T9</t>
  </si>
  <si>
    <t xml:space="preserve">Facilidade de mudança</t>
  </si>
  <si>
    <t xml:space="preserve">O sistema não foi projetado com temas ou identidade visual configurável por cliente; mudanças de regra de negócio, como um novo método de pagamento, exigem alteração pontual no código.</t>
  </si>
  <si>
    <t xml:space="preserve">T10</t>
  </si>
  <si>
    <t xml:space="preserve">Concorrência</t>
  </si>
  <si>
    <t xml:space="preserve">Múltiplos lojistas e clientes podem criar e pagar cobranças ao mesmo tempo, exigindo controle de concorrência sobre o saldo e o status das cobranças no banco de dados.</t>
  </si>
  <si>
    <t xml:space="preserve">T11</t>
  </si>
  <si>
    <t xml:space="preserve">Inclui características especiais de segurança</t>
  </si>
  <si>
    <t xml:space="preserve">Por lidar com dados financeiros e pessoais, como CPF, valores e saldo, o sistema exige autenticação, controle de acesso e proteção rigorosa das informações.</t>
  </si>
  <si>
    <t xml:space="preserve">T12</t>
  </si>
  <si>
    <t xml:space="preserve">Oferece acesso direto para terceiros</t>
  </si>
  <si>
    <t xml:space="preserve">O sistema expõe uma API própria e se integra com gateways de pagamento externos por meio de webhooks para confirmação das transações.</t>
  </si>
  <si>
    <t xml:space="preserve">T13</t>
  </si>
  <si>
    <t xml:space="preserve">Requer treinamento especial dos usuários</t>
  </si>
  <si>
    <t xml:space="preserve">As telas de cadastro, criação de cobrança e pagamento usam formulários e fluxos comuns ao dia a dia de qualquer usuário de internet, dispensando treinamento especial.</t>
  </si>
  <si>
    <t xml:space="preserve">Total</t>
  </si>
  <si>
    <t xml:space="preserve">CALCULO  ECF</t>
  </si>
  <si>
    <t xml:space="preserve">F1</t>
  </si>
  <si>
    <t xml:space="preserve">Uso de um processo formal de desenvolvimento de software</t>
  </si>
  <si>
    <t xml:space="preserve">A equipe segue um processo ágil simplificado para organizar tarefas e entregas do projeto, sem adotar uma metodologia formal completa.</t>
  </si>
  <si>
    <t xml:space="preserve">F2</t>
  </si>
  <si>
    <t xml:space="preserve">Experiência na aplicação </t>
  </si>
  <si>
    <t xml:space="preserve">É a primeira vez que a equipe desenvolve uma plataforma de cobrança multicanal do zero, embora parte do grupo já tenha alguma experiência profissional com desenvolvimento de software.</t>
  </si>
  <si>
    <t xml:space="preserve">F3</t>
  </si>
  <si>
    <t xml:space="preserve">Experiência em OO</t>
  </si>
  <si>
    <t xml:space="preserve">A equipe tem uma base sólida de Orientação a Objetos, o que está ajudando na modelagem dos casos de uso e no núcleo do MultiPag.</t>
  </si>
  <si>
    <t xml:space="preserve">CALCULO HOMENS/HORA</t>
  </si>
  <si>
    <t xml:space="preserve">F4</t>
  </si>
  <si>
    <t xml:space="preserve">Capacidade do líder analista</t>
  </si>
  <si>
    <t xml:space="preserve">A liderança é dividida entre os integrantes, sem um analista sênior dedicado, então a capacidade de análise reflete a média da equipe.</t>
  </si>
  <si>
    <t xml:space="preserve">X (F1 a F6 &lt; 3)</t>
  </si>
  <si>
    <t xml:space="preserve">F5</t>
  </si>
  <si>
    <t xml:space="preserve">Motivação</t>
  </si>
  <si>
    <t xml:space="preserve">A equipe está motivada em ver o MultiPag funcionando de ponta a ponta, do cadastro do lojista até o pagamento efetivo pelo cliente.</t>
  </si>
  <si>
    <t xml:space="preserve">Y (F7 a F8 &gt; 3)</t>
  </si>
  <si>
    <t xml:space="preserve">F6</t>
  </si>
  <si>
    <t xml:space="preserve">Estabilidade de requisitos</t>
  </si>
  <si>
    <t xml:space="preserve">No início houve ajustes no escopo para consolidar os fluxos de cobrança e pagamento, mas com as especificações e os protótipos do Figma prontos, a base de requisitos se estabilizou.</t>
  </si>
  <si>
    <t xml:space="preserve">Homens/Hora</t>
  </si>
  <si>
    <t xml:space="preserve">F7</t>
  </si>
  <si>
    <t xml:space="preserve">Número de trabalhadores em tempo parcial</t>
  </si>
  <si>
    <t xml:space="preserve">Toda a equipe concilia o desenvolvimento do MultiPag com outras responsabilidades acadêmicas e profissionais, dedicando-se ao projeto em tempo parcial.</t>
  </si>
  <si>
    <t xml:space="preserve">F8</t>
  </si>
  <si>
    <t xml:space="preserve">Dificuldade da linguagem de programação</t>
  </si>
  <si>
    <t xml:space="preserve">A equipe utiliza tecnologias já conhecidas por parte dos integrantes, incluindo a experiência prática de quem atua profissionalmente como desenvolvedor, o que reduz a dificuldade da linguagem.</t>
  </si>
  <si>
    <t xml:space="preserve">CALCULO AUCP</t>
  </si>
  <si>
    <t xml:space="preserve">CALCULO DE ESFORÇO</t>
  </si>
  <si>
    <t xml:space="preserve">CALCULO DE CUSTOS</t>
  </si>
  <si>
    <t xml:space="preserve">horas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</si>
</sst>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_-&quot;R$ &quot;* #,##0.00_-;&quot;-R$ &quot;* #,##0.00_-;_-&quot;R$ &quot;* \-??_-;_-@_-"/>
    <numFmt numFmtId="167" formatCode="_-[$R$-416]\ * #,##0.00_-;\-[$R$-416]\ * #,##0.00_-;_-[$R$-416]\ * \-??_-;_-@_-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theme="7" tint="0.5999"/>
        <bgColor rgb="FFCCCCFF"/>
      </patternFill>
    </fill>
    <fill>
      <patternFill patternType="solid">
        <fgColor theme="9" tint="0.5999"/>
        <bgColor rgb="FFC0C0C0"/>
      </patternFill>
    </fill>
    <fill>
      <patternFill patternType="solid">
        <fgColor theme="8" tint="0.5999"/>
        <bgColor rgb="FFCC99FF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E59EDD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12.66"/>
    <col collapsed="false" customWidth="true" hidden="false" outlineLevel="0" max="3" min="3" style="1" width="11.11"/>
    <col collapsed="false" customWidth="true" hidden="false" outlineLevel="0" max="10" min="10" style="1" width="13.56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H1" s="2" t="s">
        <v>4</v>
      </c>
      <c r="I1" s="2" t="s">
        <v>1</v>
      </c>
      <c r="J1" s="2" t="s">
        <v>5</v>
      </c>
      <c r="K1" s="2" t="s">
        <v>3</v>
      </c>
    </row>
    <row r="2" customFormat="false" ht="14.25" hidden="false" customHeight="true" outlineLevel="0" collapsed="false">
      <c r="A2" s="3" t="s">
        <v>6</v>
      </c>
      <c r="B2" s="3" t="n">
        <v>1</v>
      </c>
      <c r="C2" s="3" t="n">
        <v>1</v>
      </c>
      <c r="D2" s="3" t="n">
        <f aca="false">(B2*C2)</f>
        <v>1</v>
      </c>
      <c r="H2" s="3" t="s">
        <v>7</v>
      </c>
      <c r="I2" s="3" t="n">
        <v>5</v>
      </c>
      <c r="J2" s="3" t="n">
        <v>13</v>
      </c>
      <c r="K2" s="3" t="n">
        <f aca="false">(I2*J2)</f>
        <v>65</v>
      </c>
    </row>
    <row r="3" customFormat="false" ht="14.25" hidden="false" customHeight="true" outlineLevel="0" collapsed="false">
      <c r="A3" s="3" t="s">
        <v>8</v>
      </c>
      <c r="B3" s="3" t="n">
        <v>2</v>
      </c>
      <c r="C3" s="3"/>
      <c r="D3" s="3" t="n">
        <f aca="false">(B3*C3)</f>
        <v>0</v>
      </c>
      <c r="H3" s="3" t="s">
        <v>9</v>
      </c>
      <c r="I3" s="3" t="n">
        <v>10</v>
      </c>
      <c r="J3" s="3" t="n">
        <v>3</v>
      </c>
      <c r="K3" s="3" t="n">
        <f aca="false">(I3*J3)</f>
        <v>30</v>
      </c>
    </row>
    <row r="4" customFormat="false" ht="14.25" hidden="false" customHeight="true" outlineLevel="0" collapsed="false">
      <c r="A4" s="3" t="s">
        <v>10</v>
      </c>
      <c r="B4" s="3" t="n">
        <v>3</v>
      </c>
      <c r="C4" s="3" t="n">
        <v>3</v>
      </c>
      <c r="D4" s="3" t="n">
        <f aca="false">(B4*C4)</f>
        <v>9</v>
      </c>
      <c r="H4" s="3" t="s">
        <v>11</v>
      </c>
      <c r="I4" s="3" t="n">
        <v>15</v>
      </c>
      <c r="J4" s="3"/>
      <c r="K4" s="3" t="n">
        <f aca="false">(I4*J4)</f>
        <v>0</v>
      </c>
    </row>
    <row r="5" customFormat="false" ht="14.25" hidden="false" customHeight="true" outlineLevel="0" collapsed="false">
      <c r="C5" s="4" t="s">
        <v>12</v>
      </c>
      <c r="D5" s="4" t="n">
        <f aca="false">(D2+D3+D4)</f>
        <v>10</v>
      </c>
      <c r="J5" s="4" t="s">
        <v>13</v>
      </c>
      <c r="K5" s="4" t="n">
        <f aca="false">(K2+K3+K4)</f>
        <v>95</v>
      </c>
    </row>
    <row r="10" customFormat="false" ht="14.25" hidden="false" customHeight="true" outlineLevel="0" collapsed="false">
      <c r="A10" s="4" t="s">
        <v>14</v>
      </c>
      <c r="B10" s="4" t="s">
        <v>3</v>
      </c>
      <c r="C10" s="4" t="n">
        <f aca="false">(D5+K5)</f>
        <v>105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5390625" defaultRowHeight="25.5" zeroHeight="false" outlineLevelRow="0" outlineLevelCol="0"/>
  <cols>
    <col collapsed="false" customWidth="true" hidden="false" outlineLevel="0" max="2" min="2" style="1" width="38.78"/>
    <col collapsed="false" customWidth="true" hidden="false" outlineLevel="0" max="5" min="5" style="1" width="10.78"/>
    <col collapsed="false" customWidth="true" hidden="false" outlineLevel="0" max="6" min="6" style="1" width="38.44"/>
    <col collapsed="false" customWidth="true" hidden="false" outlineLevel="0" max="8" min="8" style="1" width="16.89"/>
  </cols>
  <sheetData>
    <row r="1" customFormat="false" ht="15.75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H1" s="5" t="s">
        <v>21</v>
      </c>
      <c r="I1" s="5"/>
    </row>
    <row r="2" customFormat="false" ht="42.75" hidden="false" customHeight="true" outlineLevel="0" collapsed="false">
      <c r="A2" s="6" t="s">
        <v>22</v>
      </c>
      <c r="B2" s="6" t="s">
        <v>23</v>
      </c>
      <c r="C2" s="6" t="n">
        <v>2</v>
      </c>
      <c r="D2" s="6" t="n">
        <v>2</v>
      </c>
      <c r="E2" s="6" t="n">
        <f aca="false">(C2*D2)</f>
        <v>4</v>
      </c>
      <c r="F2" s="7" t="s">
        <v>24</v>
      </c>
      <c r="H2" s="8" t="s">
        <v>3</v>
      </c>
      <c r="I2" s="8" t="n">
        <f aca="false">(0.6 + (0.01*F15))</f>
        <v>1.045</v>
      </c>
    </row>
    <row r="3" customFormat="false" ht="57" hidden="false" customHeight="true" outlineLevel="0" collapsed="false">
      <c r="A3" s="6" t="s">
        <v>25</v>
      </c>
      <c r="B3" s="6" t="s">
        <v>26</v>
      </c>
      <c r="C3" s="6" t="n">
        <v>1</v>
      </c>
      <c r="D3" s="6" t="n">
        <v>3</v>
      </c>
      <c r="E3" s="6" t="n">
        <f aca="false">(C3*D3)</f>
        <v>3</v>
      </c>
      <c r="F3" s="7" t="s">
        <v>27</v>
      </c>
    </row>
    <row r="4" customFormat="false" ht="42.75" hidden="false" customHeight="true" outlineLevel="0" collapsed="false">
      <c r="A4" s="6" t="s">
        <v>28</v>
      </c>
      <c r="B4" s="6" t="s">
        <v>29</v>
      </c>
      <c r="C4" s="6" t="n">
        <v>1</v>
      </c>
      <c r="D4" s="6" t="n">
        <v>4</v>
      </c>
      <c r="E4" s="6" t="n">
        <f aca="false">(C4*D4)</f>
        <v>4</v>
      </c>
      <c r="F4" s="7" t="s">
        <v>30</v>
      </c>
    </row>
    <row r="5" customFormat="false" ht="72" hidden="false" customHeight="true" outlineLevel="0" collapsed="false">
      <c r="A5" s="6" t="s">
        <v>31</v>
      </c>
      <c r="B5" s="6" t="s">
        <v>32</v>
      </c>
      <c r="C5" s="6" t="n">
        <v>1</v>
      </c>
      <c r="D5" s="6" t="n">
        <v>3</v>
      </c>
      <c r="E5" s="6" t="n">
        <f aca="false">(C5*D5)</f>
        <v>3</v>
      </c>
      <c r="F5" s="7" t="s">
        <v>33</v>
      </c>
    </row>
    <row r="6" customFormat="false" ht="57" hidden="false" customHeight="true" outlineLevel="0" collapsed="false">
      <c r="A6" s="6" t="s">
        <v>34</v>
      </c>
      <c r="B6" s="6" t="s">
        <v>35</v>
      </c>
      <c r="C6" s="6" t="n">
        <v>1</v>
      </c>
      <c r="D6" s="6" t="n">
        <v>2</v>
      </c>
      <c r="E6" s="6" t="n">
        <f aca="false">(C6*D6)</f>
        <v>2</v>
      </c>
      <c r="F6" s="7" t="s">
        <v>36</v>
      </c>
    </row>
    <row r="7" customFormat="false" ht="42.75" hidden="false" customHeight="true" outlineLevel="0" collapsed="false">
      <c r="A7" s="6" t="s">
        <v>37</v>
      </c>
      <c r="B7" s="6" t="s">
        <v>38</v>
      </c>
      <c r="C7" s="6" t="n">
        <v>0.5</v>
      </c>
      <c r="D7" s="6" t="n">
        <v>5</v>
      </c>
      <c r="E7" s="6" t="n">
        <f aca="false">(C7*D7)</f>
        <v>2.5</v>
      </c>
      <c r="F7" s="7" t="s">
        <v>39</v>
      </c>
    </row>
    <row r="8" customFormat="false" ht="57" hidden="false" customHeight="true" outlineLevel="0" collapsed="false">
      <c r="A8" s="6" t="s">
        <v>40</v>
      </c>
      <c r="B8" s="6" t="s">
        <v>41</v>
      </c>
      <c r="C8" s="6" t="n">
        <v>0.5</v>
      </c>
      <c r="D8" s="6" t="n">
        <v>4</v>
      </c>
      <c r="E8" s="6" t="n">
        <f aca="false">(C8*D8)</f>
        <v>2</v>
      </c>
      <c r="F8" s="7" t="s">
        <v>42</v>
      </c>
    </row>
    <row r="9" customFormat="false" ht="42.75" hidden="false" customHeight="true" outlineLevel="0" collapsed="false">
      <c r="A9" s="6" t="s">
        <v>43</v>
      </c>
      <c r="B9" s="6" t="s">
        <v>44</v>
      </c>
      <c r="C9" s="6" t="n">
        <v>2</v>
      </c>
      <c r="D9" s="6" t="n">
        <v>4</v>
      </c>
      <c r="E9" s="6" t="n">
        <f aca="false">(C9*D9)</f>
        <v>8</v>
      </c>
      <c r="F9" s="7" t="s">
        <v>45</v>
      </c>
    </row>
    <row r="10" customFormat="false" ht="57" hidden="false" customHeight="true" outlineLevel="0" collapsed="false">
      <c r="A10" s="6" t="s">
        <v>46</v>
      </c>
      <c r="B10" s="6" t="s">
        <v>47</v>
      </c>
      <c r="C10" s="6" t="n">
        <v>1</v>
      </c>
      <c r="D10" s="6" t="n">
        <v>2</v>
      </c>
      <c r="E10" s="6" t="n">
        <f aca="false">(C10*D10)</f>
        <v>2</v>
      </c>
      <c r="F10" s="7" t="s">
        <v>48</v>
      </c>
    </row>
    <row r="11" customFormat="false" ht="42.75" hidden="false" customHeight="true" outlineLevel="0" collapsed="false">
      <c r="A11" s="6" t="s">
        <v>49</v>
      </c>
      <c r="B11" s="6" t="s">
        <v>50</v>
      </c>
      <c r="C11" s="6" t="n">
        <v>1</v>
      </c>
      <c r="D11" s="6" t="n">
        <v>4</v>
      </c>
      <c r="E11" s="6" t="n">
        <f aca="false">(C11*D11)</f>
        <v>4</v>
      </c>
      <c r="F11" s="7" t="s">
        <v>51</v>
      </c>
    </row>
    <row r="12" customFormat="false" ht="57" hidden="false" customHeight="true" outlineLevel="0" collapsed="false">
      <c r="A12" s="6" t="s">
        <v>52</v>
      </c>
      <c r="B12" s="6" t="s">
        <v>53</v>
      </c>
      <c r="C12" s="6" t="n">
        <v>1</v>
      </c>
      <c r="D12" s="6" t="n">
        <v>5</v>
      </c>
      <c r="E12" s="6" t="n">
        <f aca="false">(C12*D12)</f>
        <v>5</v>
      </c>
      <c r="F12" s="7" t="s">
        <v>54</v>
      </c>
    </row>
    <row r="13" customFormat="false" ht="42.75" hidden="false" customHeight="true" outlineLevel="0" collapsed="false">
      <c r="A13" s="6" t="s">
        <v>55</v>
      </c>
      <c r="B13" s="6" t="s">
        <v>56</v>
      </c>
      <c r="C13" s="6" t="n">
        <v>1</v>
      </c>
      <c r="D13" s="6" t="n">
        <v>4</v>
      </c>
      <c r="E13" s="6" t="n">
        <f aca="false">(C13*D13)</f>
        <v>4</v>
      </c>
      <c r="F13" s="7" t="s">
        <v>57</v>
      </c>
    </row>
    <row r="14" customFormat="false" ht="57" hidden="false" customHeight="true" outlineLevel="0" collapsed="false">
      <c r="A14" s="6" t="s">
        <v>58</v>
      </c>
      <c r="B14" s="6" t="s">
        <v>59</v>
      </c>
      <c r="C14" s="6" t="n">
        <v>1</v>
      </c>
      <c r="D14" s="6" t="n">
        <v>1</v>
      </c>
      <c r="E14" s="6" t="n">
        <f aca="false">(C14*D14)</f>
        <v>1</v>
      </c>
      <c r="F14" s="7" t="s">
        <v>60</v>
      </c>
    </row>
    <row r="15" customFormat="false" ht="19.5" hidden="false" customHeight="true" outlineLevel="0" collapsed="false">
      <c r="E15" s="8" t="s">
        <v>61</v>
      </c>
      <c r="F15" s="8" t="n">
        <f aca="false">(E2+E3+E4+E5+E6+E7+E8+E9+E10+E11+E12+E13+E14)</f>
        <v>44.5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390625" defaultRowHeight="14.25" zeroHeight="false" outlineLevelRow="0" outlineLevelCol="0"/>
  <cols>
    <col collapsed="false" customWidth="true" hidden="false" outlineLevel="0" max="2" min="2" style="1" width="48.11"/>
    <col collapsed="false" customWidth="true" hidden="false" outlineLevel="0" max="5" min="5" style="1" width="12.56"/>
    <col collapsed="false" customWidth="true" hidden="false" outlineLevel="0" max="6" min="6" style="1" width="36.56"/>
    <col collapsed="false" customWidth="true" hidden="false" outlineLevel="0" max="9" min="9" style="1" width="12.78"/>
  </cols>
  <sheetData>
    <row r="1" customFormat="false" ht="14.25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I1" s="5" t="s">
        <v>62</v>
      </c>
      <c r="J1" s="5"/>
    </row>
    <row r="2" customFormat="false" ht="72.75" hidden="false" customHeight="true" outlineLevel="0" collapsed="false">
      <c r="A2" s="6" t="s">
        <v>63</v>
      </c>
      <c r="B2" s="6" t="s">
        <v>64</v>
      </c>
      <c r="C2" s="6" t="n">
        <v>1.5</v>
      </c>
      <c r="D2" s="6" t="n">
        <v>2</v>
      </c>
      <c r="E2" s="6" t="n">
        <f aca="false">(C2*D2)</f>
        <v>3</v>
      </c>
      <c r="F2" s="7" t="s">
        <v>65</v>
      </c>
      <c r="I2" s="8" t="s">
        <v>3</v>
      </c>
      <c r="J2" s="8" t="n">
        <f aca="false">(1.4 + (-0.03 *F10))</f>
        <v>1.055</v>
      </c>
    </row>
    <row r="3" customFormat="false" ht="72.75" hidden="false" customHeight="true" outlineLevel="0" collapsed="false">
      <c r="A3" s="6" t="s">
        <v>66</v>
      </c>
      <c r="B3" s="6" t="s">
        <v>67</v>
      </c>
      <c r="C3" s="6" t="n">
        <v>0.5</v>
      </c>
      <c r="D3" s="6" t="n">
        <v>2</v>
      </c>
      <c r="E3" s="6" t="n">
        <f aca="false">(C3*D3)</f>
        <v>1</v>
      </c>
      <c r="F3" s="7" t="s">
        <v>68</v>
      </c>
    </row>
    <row r="4" customFormat="false" ht="72.75" hidden="false" customHeight="true" outlineLevel="0" collapsed="false">
      <c r="A4" s="6" t="s">
        <v>69</v>
      </c>
      <c r="B4" s="6" t="s">
        <v>70</v>
      </c>
      <c r="C4" s="6" t="n">
        <v>1</v>
      </c>
      <c r="D4" s="6" t="n">
        <v>4</v>
      </c>
      <c r="E4" s="6" t="n">
        <f aca="false">(C4*D4)</f>
        <v>4</v>
      </c>
      <c r="F4" s="7" t="s">
        <v>71</v>
      </c>
      <c r="H4" s="9" t="s">
        <v>72</v>
      </c>
    </row>
    <row r="5" customFormat="false" ht="72.75" hidden="false" customHeight="true" outlineLevel="0" collapsed="false">
      <c r="A5" s="6" t="s">
        <v>73</v>
      </c>
      <c r="B5" s="6" t="s">
        <v>74</v>
      </c>
      <c r="C5" s="6" t="n">
        <v>0.5</v>
      </c>
      <c r="D5" s="6" t="n">
        <v>3</v>
      </c>
      <c r="E5" s="6" t="n">
        <f aca="false">(C5*D5)</f>
        <v>1.5</v>
      </c>
      <c r="F5" s="7" t="s">
        <v>75</v>
      </c>
      <c r="H5" s="9" t="s">
        <v>76</v>
      </c>
      <c r="I5" s="1" t="n">
        <f aca="false">COUNTIF(D2:D7,"&lt;3")</f>
        <v>3</v>
      </c>
    </row>
    <row r="6" customFormat="false" ht="72.75" hidden="false" customHeight="true" outlineLevel="0" collapsed="false">
      <c r="A6" s="6" t="s">
        <v>77</v>
      </c>
      <c r="B6" s="6" t="s">
        <v>78</v>
      </c>
      <c r="C6" s="6" t="n">
        <v>1</v>
      </c>
      <c r="D6" s="6" t="n">
        <v>5</v>
      </c>
      <c r="E6" s="6" t="n">
        <f aca="false">(C6*D6)</f>
        <v>5</v>
      </c>
      <c r="F6" s="7" t="s">
        <v>79</v>
      </c>
      <c r="H6" s="9" t="s">
        <v>80</v>
      </c>
      <c r="I6" s="1" t="n">
        <f aca="false">COUNTIF(D8:D9,"&gt;3")</f>
        <v>1</v>
      </c>
    </row>
    <row r="7" customFormat="false" ht="72.75" hidden="false" customHeight="true" outlineLevel="0" collapsed="false">
      <c r="A7" s="6" t="s">
        <v>81</v>
      </c>
      <c r="B7" s="6" t="s">
        <v>82</v>
      </c>
      <c r="C7" s="6" t="n">
        <v>2</v>
      </c>
      <c r="D7" s="6" t="n">
        <v>2</v>
      </c>
      <c r="E7" s="6" t="n">
        <f aca="false">(C7*D7)</f>
        <v>4</v>
      </c>
      <c r="F7" s="7" t="s">
        <v>83</v>
      </c>
      <c r="H7" s="9" t="s">
        <v>84</v>
      </c>
      <c r="I7" s="1" t="n">
        <f aca="false">IF((I5+I6)&lt;=2,20,IF((I5+I6)&lt;=4,28,"Risco alto - revisar projeto"))</f>
        <v>28</v>
      </c>
    </row>
    <row r="8" customFormat="false" ht="72.75" hidden="false" customHeight="true" outlineLevel="0" collapsed="false">
      <c r="A8" s="6" t="s">
        <v>85</v>
      </c>
      <c r="B8" s="6" t="s">
        <v>86</v>
      </c>
      <c r="C8" s="6" t="n">
        <v>-1</v>
      </c>
      <c r="D8" s="6" t="n">
        <v>5</v>
      </c>
      <c r="E8" s="6" t="n">
        <f aca="false">(C8*D8)</f>
        <v>-5</v>
      </c>
      <c r="F8" s="7" t="s">
        <v>87</v>
      </c>
    </row>
    <row r="9" customFormat="false" ht="72.75" hidden="false" customHeight="true" outlineLevel="0" collapsed="false">
      <c r="A9" s="6" t="s">
        <v>88</v>
      </c>
      <c r="B9" s="6" t="s">
        <v>89</v>
      </c>
      <c r="C9" s="6" t="n">
        <v>-1</v>
      </c>
      <c r="D9" s="6" t="n">
        <v>2</v>
      </c>
      <c r="E9" s="6" t="n">
        <f aca="false">(C9*D9)</f>
        <v>-2</v>
      </c>
      <c r="F9" s="7" t="s">
        <v>90</v>
      </c>
    </row>
    <row r="10" customFormat="false" ht="14.25" hidden="false" customHeight="true" outlineLevel="0" collapsed="false">
      <c r="E10" s="8" t="s">
        <v>61</v>
      </c>
      <c r="F10" s="8" t="n">
        <f aca="false">(E2+E3+E4+E5+E6+E7+E8+E9)</f>
        <v>11.5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5" min="5" style="1" width="20"/>
    <col collapsed="false" customWidth="true" hidden="false" outlineLevel="0" max="9" min="9" style="1" width="18.66"/>
    <col collapsed="false" customWidth="true" hidden="false" outlineLevel="0" max="10" min="10" style="1" width="14"/>
  </cols>
  <sheetData>
    <row r="1" customFormat="false" ht="14.25" hidden="false" customHeight="true" outlineLevel="0" collapsed="false">
      <c r="A1" s="5" t="s">
        <v>91</v>
      </c>
      <c r="B1" s="5"/>
      <c r="E1" s="10" t="s">
        <v>92</v>
      </c>
      <c r="F1" s="10"/>
      <c r="G1" s="11"/>
      <c r="I1" s="5" t="s">
        <v>93</v>
      </c>
      <c r="J1" s="5"/>
    </row>
    <row r="2" customFormat="false" ht="36" hidden="false" customHeight="true" outlineLevel="0" collapsed="false">
      <c r="A2" s="8" t="s">
        <v>3</v>
      </c>
      <c r="B2" s="8" t="n">
        <f aca="false">('UCP Não Ajustado'!C10*FCT!I2*FCA!J2)</f>
        <v>115.759875</v>
      </c>
      <c r="E2" s="8" t="s">
        <v>3</v>
      </c>
      <c r="F2" s="12" t="n">
        <f aca="false">(B2*FCA!I7)</f>
        <v>3241.2765</v>
      </c>
      <c r="G2" s="13" t="s">
        <v>94</v>
      </c>
      <c r="I2" s="8" t="s">
        <v>3</v>
      </c>
      <c r="J2" s="14" t="n">
        <f aca="false">(F2*50)</f>
        <v>162063.825</v>
      </c>
    </row>
    <row r="3" customFormat="false" ht="14.25" hidden="false" customHeight="true" outlineLevel="0" collapsed="false">
      <c r="J3" s="1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2026-09-12T13:37:49Z</dcterms:created>
  <dc:creator>Fernando Padilha</dc:creator>
  <dc:description/>
  <dc:language>en-US</dc:language>
  <cp:lastModifiedBy>Fernando Padilha</cp:lastModifiedBy>
  <dcterms:modified xsi:type="dcterms:W3CDTF">2026-09-15T23:28:30Z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