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órias de usuário" sheetId="1" state="visible" r:id="rId3"/>
    <sheet name="Sprints" sheetId="2" state="visible" r:id="rId4"/>
    <sheet name="Equipe 12 - WorkForge" sheetId="3" state="visible" r:id="rId5"/>
  </sheets>
  <definedNames>
    <definedName function="false" hidden="true" localSheetId="0" name="_xlnm._FilterDatabase" vbProcedure="false">'Histórias de usuário'!$A$4:$H$33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<sst xmlns="http://schemas.openxmlformats.org/spreadsheetml/2006/main" count="317" uniqueCount="202">
  <si>
    <t xml:space="preserve">Histórias de usuário: MultiPag</t>
  </si>
  <si>
    <t xml:space="preserve">Equipe: Eduardo Lourenço da Silva, Gabriel Pereira Lugon Moulin e João Pedro Novak Rausis</t>
  </si>
  <si>
    <t xml:space="preserve">Epic</t>
  </si>
  <si>
    <t xml:space="preserve">Feature</t>
  </si>
  <si>
    <t xml:space="preserve">ID</t>
  </si>
  <si>
    <t xml:space="preserve">História de usuário</t>
  </si>
  <si>
    <t xml:space="preserve">Critérios de aceitação</t>
  </si>
  <si>
    <t xml:space="preserve">Story points</t>
  </si>
  <si>
    <t xml:space="preserve">Justificativa dos pontos</t>
  </si>
  <si>
    <t xml:space="preserve">Sprint</t>
  </si>
  <si>
    <t xml:space="preserve">E01 Business: emitir e receber cobranças</t>
  </si>
  <si>
    <t xml:space="preserve">F01 Conta do business</t>
  </si>
  <si>
    <t xml:space="preserve">US01</t>
  </si>
  <si>
    <t xml:space="preserve">Como business, eu preciso me cadastrar informando nome ou responsável, e-mail, CPF, data de nascimento e senha para que eu possa começar a emitir cobranças.</t>
  </si>
  <si>
    <t xml:space="preserve">1 - O cadastro deve ter 3 etapas.
2 - O CPF deve ser validado e não pode estar cadastrado.
3 - A senha deve ser salva criptografada (hash).</t>
  </si>
  <si>
    <t xml:space="preserve">Cadastro em 3 etapas, com consulta de CPF e senha com hash. Complexidade média e volume médio.</t>
  </si>
  <si>
    <t xml:space="preserve">Sprint 1</t>
  </si>
  <si>
    <t xml:space="preserve">US02</t>
  </si>
  <si>
    <t xml:space="preserve">Como business, eu preciso entrar com e-mail e senha para acessar minha conta de forma segura.</t>
  </si>
  <si>
    <t xml:space="preserve">1 - Credenciais válidas levam ao painel.
2 - A autenticação deve usar token com expiração.
3 - Credencial inválida mostra mensagem de erro.</t>
  </si>
  <si>
    <t xml:space="preserve">Não é só uma tela: tem token, expiração e tratamento de erro. Risco baixo.</t>
  </si>
  <si>
    <t xml:space="preserve">F02 Cobranças</t>
  </si>
  <si>
    <t xml:space="preserve">US03</t>
  </si>
  <si>
    <t xml:space="preserve">Como business, eu preciso criar uma cobrança informando valor, descrição e cliente destinatário para que eu possa cobrar meu cliente.</t>
  </si>
  <si>
    <t xml:space="preserve">1 - O fluxo deve ter 5 etapas, com revisão antes de salvar.
2 - O valor deve ser maior que zero e o cliente é obrigatório.
3 - A cobrança é salva como pendente, junto com os métodos escolhidos.</t>
  </si>
  <si>
    <t xml:space="preserve">É o centro do sistema: 5 etapas, várias validações e gravação da cobrança com os métodos. Maior volume de trabalho.</t>
  </si>
  <si>
    <t xml:space="preserve">US04</t>
  </si>
  <si>
    <t xml:space="preserve">Como business, eu preciso escolher os métodos de pagamento aceitos em cada cobrança (Pix, cartão, boleto e cripto) para que o cliente pague pelo meio que eu aceito.</t>
  </si>
  <si>
    <t xml:space="preserve">1 - Pelo menos um método deve ser marcado.
2 - Os métodos ficam salvos junto da cobrança.
3 - O cliente só vê os métodos habilitados.</t>
  </si>
  <si>
    <t xml:space="preserve">Seleção simples, mas grava em tabela própria e depende da US03.</t>
  </si>
  <si>
    <t xml:space="preserve">US05</t>
  </si>
  <si>
    <t xml:space="preserve">Como business, eu preciso de um link único de pagamento para cada cobrança para que o cliente consiga pagar.</t>
  </si>
  <si>
    <t xml:space="preserve">1 - O link é gerado ao criar a cobrança.
2 - Dois links nunca podem ter o mesmo código.</t>
  </si>
  <si>
    <t xml:space="preserve">Gera o identificador e monta a URL. O cuidado é não repetir o código.</t>
  </si>
  <si>
    <t xml:space="preserve">Sprint 2</t>
  </si>
  <si>
    <t xml:space="preserve">US06</t>
  </si>
  <si>
    <t xml:space="preserve">Como business, eu preciso copiar o link da cobrança para enviar ao meu cliente.</t>
  </si>
  <si>
    <t xml:space="preserve">1 - A tela da cobrança tem o botão de copiar o link.
2 - Não há envio automático nesta versão.</t>
  </si>
  <si>
    <t xml:space="preserve">Só o botão de copiar. Sem envio por e-mail.</t>
  </si>
  <si>
    <t xml:space="preserve">F03 Saldo e saques</t>
  </si>
  <si>
    <t xml:space="preserve">US07</t>
  </si>
  <si>
    <t xml:space="preserve">Como business, eu preciso ver meu saldo disponível em reais para saber quanto posso sacar.</t>
  </si>
  <si>
    <t xml:space="preserve">1 - O saldo aparece no painel.
2 - O saldo é atualizado após cada pagamento confirmado.</t>
  </si>
  <si>
    <t xml:space="preserve">Exibição simples, mas o saldo precisa estar certo depois de cada pagamento.</t>
  </si>
  <si>
    <t xml:space="preserve">US08</t>
  </si>
  <si>
    <t xml:space="preserve">Como business, eu preciso consultar o extrato de movimentações para acompanhar os pagamentos que recebi.</t>
  </si>
  <si>
    <t xml:space="preserve">1 - A lista deve ter filtro por período e tipo.
2 - A lista deve ter paginação.
3 - O extrato mostra os totais do período.</t>
  </si>
  <si>
    <t xml:space="preserve">Filtros, paginação e totais do período. Não tem exportação.</t>
  </si>
  <si>
    <t xml:space="preserve">Sprint 4</t>
  </si>
  <si>
    <t xml:space="preserve">US09</t>
  </si>
  <si>
    <t xml:space="preserve">Como business, eu preciso solicitar saque do meu saldo via Pix para receber o dinheiro das cobranças.</t>
  </si>
  <si>
    <t xml:space="preserve">1 - O saque só pode ser via Pix.
2 - O valor não pode ser maior que o saldo.
3 - A chave Pix deve ser validada (US28).
4 - O saldo baixa e o saque fica registrado (transferência simulada).</t>
  </si>
  <si>
    <t xml:space="preserve">Mexe em três tabelas e precisa ser transacional. A transferência é simulada, por isso não passa de 8.</t>
  </si>
  <si>
    <t xml:space="preserve">Sprint 5</t>
  </si>
  <si>
    <t xml:space="preserve">E02 Pagamento: o cliente paga a cobrança</t>
  </si>
  <si>
    <t xml:space="preserve">F04 Pagamento pelo cliente</t>
  </si>
  <si>
    <t xml:space="preserve">US10</t>
  </si>
  <si>
    <t xml:space="preserve">Como cliente, eu preciso abrir a cobrança pelo link recebido, sem login, para ver o que devo pagar.</t>
  </si>
  <si>
    <t xml:space="preserve">1 - O acesso não pede login.
2 - Link inválido ou expirado mostra um aviso.
3 - Só aparecem os métodos habilitados pelo business.</t>
  </si>
  <si>
    <t xml:space="preserve">Tela de leitura com endpoint público e tratamento de link inválido.</t>
  </si>
  <si>
    <t xml:space="preserve">US11</t>
  </si>
  <si>
    <t xml:space="preserve">Como cliente, eu preciso pagar como convidado, informando meu CPF, para não precisar criar uma conta.</t>
  </si>
  <si>
    <t xml:space="preserve">1 - O CPF deve ser validado.
2 - O pagamento fica vinculado ao CPF.
3 - A cobrança aparece depois na conta do cliente com o mesmo CPF.</t>
  </si>
  <si>
    <t xml:space="preserve">A validação e o vínculo pelo CPF são o que dá trabalho, não a tela.</t>
  </si>
  <si>
    <t xml:space="preserve">US12</t>
  </si>
  <si>
    <t xml:space="preserve">Como cliente, eu preciso pagar a cobrança por Pix quando o business habilitou esse método.</t>
  </si>
  <si>
    <t xml:space="preserve">1 - O método só aparece se estiver habilitado.
2 - O cliente recebe os dados para pagar por Pix.
3 - O resultado do pagamento é mostrado ao cliente.</t>
  </si>
  <si>
    <t xml:space="preserve">Primeiro método, por isso cria a base comum de pagamento. Menos regras que os outros.</t>
  </si>
  <si>
    <t xml:space="preserve">US13</t>
  </si>
  <si>
    <t xml:space="preserve">Como cliente, eu preciso pagar a cobrança por cartão quando o business habilitou esse método.</t>
  </si>
  <si>
    <t xml:space="preserve">1 - O método só aparece se estiver habilitado.
2 - Os dados do cartão são validados antes de enviar.
3 - O cliente vê se o pagamento foi aprovado ou recusado.</t>
  </si>
  <si>
    <t xml:space="preserve">Gateway próprio, tela própria e retorno de aprovação ou recusa. Reaproveita a base da US12.</t>
  </si>
  <si>
    <t xml:space="preserve">Sprint 3</t>
  </si>
  <si>
    <t xml:space="preserve">US14</t>
  </si>
  <si>
    <t xml:space="preserve">Como cliente, eu preciso pagar a cobrança por boleto quando o business habilitou esse método.</t>
  </si>
  <si>
    <t xml:space="preserve">1 - O método só aparece se estiver habilitado.
2 - O boleto é gerado com o valor da cobrança.
3 - O cliente vê o retorno depois de gerar o boleto.</t>
  </si>
  <si>
    <t xml:space="preserve">Gateway próprio e a confirmação do pagamento não é imediata. Reaproveita a base da US12.</t>
  </si>
  <si>
    <t xml:space="preserve">US15</t>
  </si>
  <si>
    <t xml:space="preserve">Como cliente, eu preciso pagar a cobrança em cripto quando o business habilitou esse método.</t>
  </si>
  <si>
    <t xml:space="preserve">1 - O método só aparece se estiver habilitado.
2 - O valor em cripto é calculado pela cotação.
3 - O cliente vê o retorno do pagamento.</t>
  </si>
  <si>
    <t xml:space="preserve">Gateway próprio e ainda tem a cotação. Reaproveita a base da US12.</t>
  </si>
  <si>
    <t xml:space="preserve">E03 Conta do cliente</t>
  </si>
  <si>
    <t xml:space="preserve">F06 Conta do cliente</t>
  </si>
  <si>
    <t xml:space="preserve">US16</t>
  </si>
  <si>
    <t xml:space="preserve">Como cliente, eu preciso criar uma conta opcional com e-mail, CPF e senha para acompanhar minhas cobranças.</t>
  </si>
  <si>
    <t xml:space="preserve">1 - E-mail e CPF devem ser validados.
2 - A senha deve ser confirmada.</t>
  </si>
  <si>
    <t xml:space="preserve">Formulário curto, parecido com o cadastro do business, mas menor.</t>
  </si>
  <si>
    <t xml:space="preserve">F07 Cobranças do cliente</t>
  </si>
  <si>
    <t xml:space="preserve">US17</t>
  </si>
  <si>
    <t xml:space="preserve">Como cliente logado, eu preciso ver as cobranças ligadas ao meu CPF, de qualquer business, para saber o que paguei e o que falta.</t>
  </si>
  <si>
    <t xml:space="preserve">1 - A busca é pelo CPF, em qualquer business.
2 - A lista tem filtros.
3 - A tela mostra o total pago e o total pendente.</t>
  </si>
  <si>
    <t xml:space="preserve">Busca por CPF entre vários business, com filtros e totais.</t>
  </si>
  <si>
    <t xml:space="preserve">F05 Atualização automática do status</t>
  </si>
  <si>
    <t xml:space="preserve">US18</t>
  </si>
  <si>
    <t xml:space="preserve">Como business, eu preciso que o status da cobrança seja atualizado sozinho depois que o pagamento é confirmado, para não conferir tudo à mão.</t>
  </si>
  <si>
    <t xml:space="preserve">1 - O webhook atualiza a cobrança, o saldo e o extrato.
2 - Um pagamento duplicado não pode ser contado duas vezes.
3 - Falhas no processamento são tratadas.</t>
  </si>
  <si>
    <t xml:space="preserve">Precisa evitar duplicidade e tratar falha. A lógica vale para os quatro métodos. Risco alto.</t>
  </si>
  <si>
    <t xml:space="preserve">US19</t>
  </si>
  <si>
    <t xml:space="preserve">Como business, eu preciso alterar os dados da minha conta para manter meu cadastro correto.</t>
  </si>
  <si>
    <t xml:space="preserve">1 - É possível editar nome e e-mail.
2 - Trocar a senha exige a senha atual.</t>
  </si>
  <si>
    <t xml:space="preserve">Poucos campos, parecido com o cadastro.</t>
  </si>
  <si>
    <t xml:space="preserve">Sprint 6</t>
  </si>
  <si>
    <t xml:space="preserve">US20</t>
  </si>
  <si>
    <t xml:space="preserve">Como business, eu preciso excluir minha conta quando não quiser mais usar o sistema.</t>
  </si>
  <si>
    <t xml:space="preserve">1 - A exclusão pede a senha.
2 - Não pode excluir com cobrança ou saque pendente.
3 - O histórico é mantido para auditoria.</t>
  </si>
  <si>
    <t xml:space="preserve">Tela de confirmação mais a regra de bloqueio por pendências.</t>
  </si>
  <si>
    <t xml:space="preserve">US21</t>
  </si>
  <si>
    <t xml:space="preserve">Como business, eu preciso alterar uma cobrança pendente para corrigir valor ou métodos.</t>
  </si>
  <si>
    <t xml:space="preserve">1 - Só cobranças pendentes podem ser alteradas.
2 - Valor e métodos podem ser editados.</t>
  </si>
  <si>
    <t xml:space="preserve">Reaproveita o fluxo de criar cobrança, com a regra de só editar pendente.</t>
  </si>
  <si>
    <t xml:space="preserve">US22</t>
  </si>
  <si>
    <t xml:space="preserve">Como business, eu preciso cancelar uma cobrança pendente que não vale mais.</t>
  </si>
  <si>
    <t xml:space="preserve">1 - O status muda para cancelada e o link é desativado.
2 - Não cancela se já existe pagamento iniciado.</t>
  </si>
  <si>
    <t xml:space="preserve">Troca de status e bloqueio do link, com a checagem de pagamento iniciado.</t>
  </si>
  <si>
    <t xml:space="preserve">US23</t>
  </si>
  <si>
    <t xml:space="preserve">Como cliente, eu preciso alterar os dados da minha conta para manter meu cadastro correto.</t>
  </si>
  <si>
    <t xml:space="preserve">1 - É possível trocar e-mail e senha.
2 - A troca pede a senha atual.</t>
  </si>
  <si>
    <t xml:space="preserve">Igual ao do business, só que menor.</t>
  </si>
  <si>
    <t xml:space="preserve">US24</t>
  </si>
  <si>
    <t xml:space="preserve">Como cliente, eu preciso excluir minha conta (LGPD) para remover meus dados pessoais.</t>
  </si>
  <si>
    <t xml:space="preserve">1 - A exclusão pede a senha.
2 - Os dados pessoais da conta são removidos.
3 - As cobranças ligadas ao CPF são mantidas.</t>
  </si>
  <si>
    <t xml:space="preserve">Remoção de dados pessoais mantendo as cobranças. Exige cuidado com a LGPD.</t>
  </si>
  <si>
    <t xml:space="preserve">US25</t>
  </si>
  <si>
    <t xml:space="preserve">Como cliente, eu preciso consultar o resultado do meu pagamento para saber se deu certo.</t>
  </si>
  <si>
    <t xml:space="preserve">1 - A tela mostra status, valor e identificação da transação.</t>
  </si>
  <si>
    <t xml:space="preserve">Tela de leitura, com poucos campos.</t>
  </si>
  <si>
    <t xml:space="preserve">US26</t>
  </si>
  <si>
    <t xml:space="preserve">Como business, eu preciso listar as cobranças que emiti para acompanhar o que está pendente e pago.</t>
  </si>
  <si>
    <t xml:space="preserve">1 - A lista tem filtro por status e paginação.
2 - O CPF aparece mascarado.
3 - Cada cobrança mostra o seu link.</t>
  </si>
  <si>
    <t xml:space="preserve">Lista com filtro e paginação, com o cuidado de mascarar o CPF.</t>
  </si>
  <si>
    <t xml:space="preserve">US27</t>
  </si>
  <si>
    <t xml:space="preserve">Como business, eu preciso consultar os detalhes de uma cobrança para ver o pagamento dela.</t>
  </si>
  <si>
    <t xml:space="preserve">1 - A tela mostra os dados da cobrança e do pagamento.</t>
  </si>
  <si>
    <t xml:space="preserve">Consulta simples juntando duas tabelas.</t>
  </si>
  <si>
    <t xml:space="preserve">US28</t>
  </si>
  <si>
    <t xml:space="preserve">Como business, eu preciso que a chave Pix do saque seja validada no DICT para não sacar para uma chave que não existe.</t>
  </si>
  <si>
    <t xml:space="preserve">1 - A chave é consultada no DICT antes do saque.
2 - Chave inexistente mostra um erro.
3 - Demora ou falha do DICT é tratada, com nova tentativa.</t>
  </si>
  <si>
    <t xml:space="preserve">Integração com serviço de terceiro. Era 5 e subiu para 8 depois da avaliação da Equipe 12, por causa do tratamento de falha.</t>
  </si>
  <si>
    <t xml:space="preserve">US29</t>
  </si>
  <si>
    <t xml:space="preserve">Como business, eu preciso listar meus saques recentes para acompanhar o que já retirei.</t>
  </si>
  <si>
    <t xml:space="preserve">1 - A lista é paginada.
2 - Mostra valor, datas e status de cada saque.</t>
  </si>
  <si>
    <t xml:space="preserve">Lista paginada simples.</t>
  </si>
  <si>
    <t xml:space="preserve">Total</t>
  </si>
  <si>
    <t xml:space="preserve">Planejamento das sprints</t>
  </si>
  <si>
    <t xml:space="preserve">Limite de pontos por sprint</t>
  </si>
  <si>
    <t xml:space="preserve">Objetivo</t>
  </si>
  <si>
    <t xml:space="preserve">Histórias</t>
  </si>
  <si>
    <t xml:space="preserve">Pontos</t>
  </si>
  <si>
    <t xml:space="preserve">Limite</t>
  </si>
  <si>
    <t xml:space="preserve">Folga</t>
  </si>
  <si>
    <t xml:space="preserve">Cadastro, login e criação de cobrança</t>
  </si>
  <si>
    <t xml:space="preserve">US01, US02, US03, US04</t>
  </si>
  <si>
    <t xml:space="preserve">Link, acesso do cliente e pagamento por Pix</t>
  </si>
  <si>
    <t xml:space="preserve">US05, US06, US07, US10, US11, US12, US27</t>
  </si>
  <si>
    <t xml:space="preserve">Cartão, boleto e atualização do status</t>
  </si>
  <si>
    <t xml:space="preserve">US13, US14, US18, US25</t>
  </si>
  <si>
    <t xml:space="preserve">Cripto, extrato e validação do DICT</t>
  </si>
  <si>
    <t xml:space="preserve">US08, US15, US28, US29</t>
  </si>
  <si>
    <t xml:space="preserve">Saque e conta do cliente</t>
  </si>
  <si>
    <t xml:space="preserve">US09, US16, US17, US26</t>
  </si>
  <si>
    <t xml:space="preserve">Edição, cancelamento e exclusão</t>
  </si>
  <si>
    <t xml:space="preserve">US19, US20, US21, US22, US23, US24</t>
  </si>
  <si>
    <t xml:space="preserve">Histórias de usuário: projeto da Equipe 12 - WorkForge</t>
  </si>
  <si>
    <t xml:space="preserve">Área de negócio: recursos humanos (funcionários, equipes e jornadas)</t>
  </si>
  <si>
    <t xml:space="preserve">E01 Gestão de equipes e jornadas</t>
  </si>
  <si>
    <t xml:space="preserve">F01 Cadastros</t>
  </si>
  <si>
    <t xml:space="preserve">Como gestor de RH, eu preciso cadastrar um funcionário com nome, cargo, equipe, jornada e superior para manter o quadro atualizado.</t>
  </si>
  <si>
    <t xml:space="preserve">1 - Os campos obrigatórios são validados.
2 - Cargo, equipe e jornada são escolhidos entre os já cadastrados.</t>
  </si>
  <si>
    <t xml:space="preserve">Cinco campos que dependem de outros cadastros.</t>
  </si>
  <si>
    <t xml:space="preserve">Como gestor de RH, eu preciso cadastrar um cargo com título e nível para usar no cadastro de funcionários.</t>
  </si>
  <si>
    <t xml:space="preserve">1 - O título e o nível são obrigatórios.</t>
  </si>
  <si>
    <t xml:space="preserve">Formulário com dois campos e sem dependências.</t>
  </si>
  <si>
    <t xml:space="preserve">Como gestor de RH, eu preciso cadastrar uma equipe para organizar os funcionários.</t>
  </si>
  <si>
    <t xml:space="preserve">1 - O nome da equipe é obrigatório.
2 - A equipe fica disponível no cadastro de funcionário.</t>
  </si>
  <si>
    <t xml:space="preserve">Cadastro simples, mas ligado ao de funcionário.</t>
  </si>
  <si>
    <t xml:space="preserve">Como gestor de RH, eu preciso cadastrar uma jornada de trabalho para definir as horas previstas de cada funcionário.</t>
  </si>
  <si>
    <t xml:space="preserve">1 - A jornada tem horas previstas por dia.
2 - A jornada fica disponível no cadastro de funcionário.</t>
  </si>
  <si>
    <t xml:space="preserve">Cadastro simples, e as horas previstas entram nos cálculos do perfil.</t>
  </si>
  <si>
    <t xml:space="preserve">Como gestor de RH, eu preciso listar os funcionários, com busca e filtros, para encontrar rápido quem procuro.</t>
  </si>
  <si>
    <t xml:space="preserve">1 - A busca é por nome ou matrícula.
2 - Há filtros de setor e status.</t>
  </si>
  <si>
    <t xml:space="preserve">Lista com filtros, sem regra de negócio complexa.</t>
  </si>
  <si>
    <t xml:space="preserve">F02 Demandas</t>
  </si>
  <si>
    <t xml:space="preserve">Como gestor, eu preciso cadastrar uma demanda para registrar o trabalho que a equipe precisa fazer.</t>
  </si>
  <si>
    <t xml:space="preserve">1 - A demanda tem título, setor e prioridade.</t>
  </si>
  <si>
    <t xml:space="preserve">Formulário com alguns campos e regras de prioridade.</t>
  </si>
  <si>
    <t xml:space="preserve">Como gestor, eu preciso atribuir uma demanda a um funcionário ou a uma equipe para definir quem faz o trabalho.</t>
  </si>
  <si>
    <t xml:space="preserve">1 - A demanda pode ser atribuída a um funcionário ou a uma equipe.
2 - A atribuição aparece na lista de demandas.</t>
  </si>
  <si>
    <t xml:space="preserve">Regra de atribuição envolve funcionário, equipe e a própria demanda. Pode ficar maior se tiver mais de um responsável.</t>
  </si>
  <si>
    <t xml:space="preserve">Como gestor, eu preciso listar as demandas, com busca e filtros, para acompanhar o andamento.</t>
  </si>
  <si>
    <t xml:space="preserve">1 - A busca é por texto.
2 - Há filtros de setor e prioridade.</t>
  </si>
  <si>
    <t xml:space="preserve">Lista com filtros, parecida com a de funcionários.</t>
  </si>
  <si>
    <t xml:space="preserve">F03 Meu perfil e ponto</t>
  </si>
  <si>
    <t xml:space="preserve">Como funcionário, eu preciso que o sistema leia as horas do ponto externo para ver minhas horas sem digitar nada.</t>
  </si>
  <si>
    <t xml:space="preserve">1 - O sistema consulta horas trabalhadas, previstas e banco de horas.
2 - Falha ou demora do ponto externo é tratada.</t>
  </si>
  <si>
    <t xml:space="preserve">Integração com sistema externo, com tratamento de falha.</t>
  </si>
  <si>
    <t xml:space="preserve">Como funcionário, eu preciso ver o meu perfil, com horas do mês, banco de horas, jornada e tarefas concluídas, para acompanhar meu trabalho.</t>
  </si>
  <si>
    <t xml:space="preserve">1 - A tela mostra horas do mês, banco de horas, jornada e tarefas concluídas.
2 - As horas vêm do ponto externo e passam por cálculo antes de aparecer.</t>
  </si>
  <si>
    <t xml:space="preserve">Junta dados do ponto externo, jornada e demandas, com cálculos. Alto volume e risco.</t>
  </si>
  <si>
    <t xml:space="preserve">F04 Relatórios</t>
  </si>
  <si>
    <t xml:space="preserve">Como gestor, eu preciso ver relatórios de produtividade média, horas trabalhadas e demandas concluídas para tomar decisões sobre as equipes.</t>
  </si>
  <si>
    <t xml:space="preserve">1 - Os indicadores são calculados com dados de demandas, equipes e ponto.
2 - O relatório pode ser consultado por equipe.</t>
  </si>
  <si>
    <t xml:space="preserve">Vários cálculos juntando demandas, equipes e ponto. Maior volume da lista.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</si>
</sst>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5" min="4" style="0" width="52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5" hidden="false" customHeight="true" outlineLevel="0" collapsed="false">
      <c r="A5" s="4" t="s">
        <v>10</v>
      </c>
      <c r="B5" s="4" t="s">
        <v>11</v>
      </c>
      <c r="C5" s="5" t="s">
        <v>12</v>
      </c>
      <c r="D5" s="4" t="s">
        <v>13</v>
      </c>
      <c r="E5" s="4" t="s">
        <v>14</v>
      </c>
      <c r="F5" s="6" t="n">
        <v>5</v>
      </c>
      <c r="G5" s="4" t="s">
        <v>15</v>
      </c>
      <c r="H5" s="5" t="s">
        <v>16</v>
      </c>
    </row>
    <row r="6" customFormat="false" ht="45" hidden="false" customHeight="true" outlineLevel="0" collapsed="false">
      <c r="A6" s="4" t="s">
        <v>10</v>
      </c>
      <c r="B6" s="4" t="s">
        <v>11</v>
      </c>
      <c r="C6" s="5" t="s">
        <v>17</v>
      </c>
      <c r="D6" s="4" t="s">
        <v>18</v>
      </c>
      <c r="E6" s="4" t="s">
        <v>19</v>
      </c>
      <c r="F6" s="6" t="n">
        <v>3</v>
      </c>
      <c r="G6" s="4" t="s">
        <v>20</v>
      </c>
      <c r="H6" s="5" t="s">
        <v>16</v>
      </c>
    </row>
    <row r="7" customFormat="false" ht="84" hidden="false" customHeight="true" outlineLevel="0" collapsed="false">
      <c r="A7" s="4" t="s">
        <v>10</v>
      </c>
      <c r="B7" s="4" t="s">
        <v>21</v>
      </c>
      <c r="C7" s="5" t="s">
        <v>22</v>
      </c>
      <c r="D7" s="4" t="s">
        <v>23</v>
      </c>
      <c r="E7" s="4" t="s">
        <v>24</v>
      </c>
      <c r="F7" s="6" t="n">
        <v>8</v>
      </c>
      <c r="G7" s="4" t="s">
        <v>25</v>
      </c>
      <c r="H7" s="5" t="s">
        <v>16</v>
      </c>
    </row>
    <row r="8" customFormat="false" ht="45" hidden="false" customHeight="true" outlineLevel="0" collapsed="false">
      <c r="A8" s="4" t="s">
        <v>10</v>
      </c>
      <c r="B8" s="4" t="s">
        <v>21</v>
      </c>
      <c r="C8" s="5" t="s">
        <v>26</v>
      </c>
      <c r="D8" s="4" t="s">
        <v>27</v>
      </c>
      <c r="E8" s="4" t="s">
        <v>28</v>
      </c>
      <c r="F8" s="6" t="n">
        <v>3</v>
      </c>
      <c r="G8" s="4" t="s">
        <v>29</v>
      </c>
      <c r="H8" s="5" t="s">
        <v>16</v>
      </c>
    </row>
    <row r="9" customFormat="false" ht="31.5" hidden="false" customHeight="true" outlineLevel="0" collapsed="false">
      <c r="A9" s="4" t="s">
        <v>10</v>
      </c>
      <c r="B9" s="4" t="s">
        <v>21</v>
      </c>
      <c r="C9" s="5" t="s">
        <v>30</v>
      </c>
      <c r="D9" s="4" t="s">
        <v>31</v>
      </c>
      <c r="E9" s="4" t="s">
        <v>32</v>
      </c>
      <c r="F9" s="6" t="n">
        <v>2</v>
      </c>
      <c r="G9" s="4" t="s">
        <v>33</v>
      </c>
      <c r="H9" s="5" t="s">
        <v>34</v>
      </c>
    </row>
    <row r="10" customFormat="false" ht="31.5" hidden="false" customHeight="true" outlineLevel="0" collapsed="false">
      <c r="A10" s="4" t="s">
        <v>10</v>
      </c>
      <c r="B10" s="4" t="s">
        <v>21</v>
      </c>
      <c r="C10" s="5" t="s">
        <v>35</v>
      </c>
      <c r="D10" s="4" t="s">
        <v>36</v>
      </c>
      <c r="E10" s="4" t="s">
        <v>37</v>
      </c>
      <c r="F10" s="6" t="n">
        <v>1</v>
      </c>
      <c r="G10" s="4" t="s">
        <v>38</v>
      </c>
      <c r="H10" s="5" t="s">
        <v>34</v>
      </c>
    </row>
    <row r="11" customFormat="false" ht="31.5" hidden="false" customHeight="true" outlineLevel="0" collapsed="false">
      <c r="A11" s="4" t="s">
        <v>10</v>
      </c>
      <c r="B11" s="4" t="s">
        <v>39</v>
      </c>
      <c r="C11" s="5" t="s">
        <v>40</v>
      </c>
      <c r="D11" s="4" t="s">
        <v>41</v>
      </c>
      <c r="E11" s="4" t="s">
        <v>42</v>
      </c>
      <c r="F11" s="6" t="n">
        <v>2</v>
      </c>
      <c r="G11" s="4" t="s">
        <v>43</v>
      </c>
      <c r="H11" s="5" t="s">
        <v>34</v>
      </c>
    </row>
    <row r="12" customFormat="false" ht="45" hidden="false" customHeight="true" outlineLevel="0" collapsed="false">
      <c r="A12" s="4" t="s">
        <v>10</v>
      </c>
      <c r="B12" s="4" t="s">
        <v>39</v>
      </c>
      <c r="C12" s="5" t="s">
        <v>44</v>
      </c>
      <c r="D12" s="4" t="s">
        <v>45</v>
      </c>
      <c r="E12" s="4" t="s">
        <v>46</v>
      </c>
      <c r="F12" s="6" t="n">
        <v>5</v>
      </c>
      <c r="G12" s="4" t="s">
        <v>47</v>
      </c>
      <c r="H12" s="5" t="s">
        <v>48</v>
      </c>
    </row>
    <row r="13" customFormat="false" ht="70.5" hidden="false" customHeight="true" outlineLevel="0" collapsed="false">
      <c r="A13" s="4" t="s">
        <v>10</v>
      </c>
      <c r="B13" s="4" t="s">
        <v>39</v>
      </c>
      <c r="C13" s="5" t="s">
        <v>49</v>
      </c>
      <c r="D13" s="4" t="s">
        <v>50</v>
      </c>
      <c r="E13" s="4" t="s">
        <v>51</v>
      </c>
      <c r="F13" s="6" t="n">
        <v>8</v>
      </c>
      <c r="G13" s="4" t="s">
        <v>52</v>
      </c>
      <c r="H13" s="5" t="s">
        <v>53</v>
      </c>
    </row>
    <row r="14" customFormat="false" ht="45" hidden="false" customHeight="true" outlineLevel="0" collapsed="false">
      <c r="A14" s="4" t="s">
        <v>54</v>
      </c>
      <c r="B14" s="4" t="s">
        <v>55</v>
      </c>
      <c r="C14" s="5" t="s">
        <v>56</v>
      </c>
      <c r="D14" s="4" t="s">
        <v>57</v>
      </c>
      <c r="E14" s="4" t="s">
        <v>58</v>
      </c>
      <c r="F14" s="6" t="n">
        <v>3</v>
      </c>
      <c r="G14" s="4" t="s">
        <v>59</v>
      </c>
      <c r="H14" s="5" t="s">
        <v>34</v>
      </c>
    </row>
    <row r="15" customFormat="false" ht="57.75" hidden="false" customHeight="true" outlineLevel="0" collapsed="false">
      <c r="A15" s="4" t="s">
        <v>54</v>
      </c>
      <c r="B15" s="4" t="s">
        <v>55</v>
      </c>
      <c r="C15" s="5" t="s">
        <v>60</v>
      </c>
      <c r="D15" s="4" t="s">
        <v>61</v>
      </c>
      <c r="E15" s="4" t="s">
        <v>62</v>
      </c>
      <c r="F15" s="6" t="n">
        <v>5</v>
      </c>
      <c r="G15" s="4" t="s">
        <v>63</v>
      </c>
      <c r="H15" s="5" t="s">
        <v>34</v>
      </c>
    </row>
    <row r="16" customFormat="false" ht="45" hidden="false" customHeight="true" outlineLevel="0" collapsed="false">
      <c r="A16" s="4" t="s">
        <v>54</v>
      </c>
      <c r="B16" s="4" t="s">
        <v>55</v>
      </c>
      <c r="C16" s="5" t="s">
        <v>64</v>
      </c>
      <c r="D16" s="4" t="s">
        <v>65</v>
      </c>
      <c r="E16" s="4" t="s">
        <v>66</v>
      </c>
      <c r="F16" s="6" t="n">
        <v>3</v>
      </c>
      <c r="G16" s="4" t="s">
        <v>67</v>
      </c>
      <c r="H16" s="5" t="s">
        <v>34</v>
      </c>
    </row>
    <row r="17" customFormat="false" ht="45" hidden="false" customHeight="true" outlineLevel="0" collapsed="false">
      <c r="A17" s="4" t="s">
        <v>54</v>
      </c>
      <c r="B17" s="4" t="s">
        <v>55</v>
      </c>
      <c r="C17" s="5" t="s">
        <v>68</v>
      </c>
      <c r="D17" s="4" t="s">
        <v>69</v>
      </c>
      <c r="E17" s="4" t="s">
        <v>70</v>
      </c>
      <c r="F17" s="6" t="n">
        <v>5</v>
      </c>
      <c r="G17" s="4" t="s">
        <v>71</v>
      </c>
      <c r="H17" s="5" t="s">
        <v>72</v>
      </c>
    </row>
    <row r="18" customFormat="false" ht="45" hidden="false" customHeight="true" outlineLevel="0" collapsed="false">
      <c r="A18" s="4" t="s">
        <v>54</v>
      </c>
      <c r="B18" s="4" t="s">
        <v>55</v>
      </c>
      <c r="C18" s="5" t="s">
        <v>73</v>
      </c>
      <c r="D18" s="4" t="s">
        <v>74</v>
      </c>
      <c r="E18" s="4" t="s">
        <v>75</v>
      </c>
      <c r="F18" s="6" t="n">
        <v>5</v>
      </c>
      <c r="G18" s="4" t="s">
        <v>76</v>
      </c>
      <c r="H18" s="5" t="s">
        <v>72</v>
      </c>
    </row>
    <row r="19" customFormat="false" ht="45" hidden="false" customHeight="true" outlineLevel="0" collapsed="false">
      <c r="A19" s="4" t="s">
        <v>54</v>
      </c>
      <c r="B19" s="4" t="s">
        <v>55</v>
      </c>
      <c r="C19" s="5" t="s">
        <v>77</v>
      </c>
      <c r="D19" s="4" t="s">
        <v>78</v>
      </c>
      <c r="E19" s="4" t="s">
        <v>79</v>
      </c>
      <c r="F19" s="6" t="n">
        <v>5</v>
      </c>
      <c r="G19" s="4" t="s">
        <v>80</v>
      </c>
      <c r="H19" s="5" t="s">
        <v>48</v>
      </c>
    </row>
    <row r="20" customFormat="false" ht="31.5" hidden="false" customHeight="true" outlineLevel="0" collapsed="false">
      <c r="A20" s="4" t="s">
        <v>81</v>
      </c>
      <c r="B20" s="4" t="s">
        <v>82</v>
      </c>
      <c r="C20" s="5" t="s">
        <v>83</v>
      </c>
      <c r="D20" s="4" t="s">
        <v>84</v>
      </c>
      <c r="E20" s="4" t="s">
        <v>85</v>
      </c>
      <c r="F20" s="6" t="n">
        <v>3</v>
      </c>
      <c r="G20" s="4" t="s">
        <v>86</v>
      </c>
      <c r="H20" s="5" t="s">
        <v>53</v>
      </c>
    </row>
    <row r="21" customFormat="false" ht="45" hidden="false" customHeight="true" outlineLevel="0" collapsed="false">
      <c r="A21" s="4" t="s">
        <v>81</v>
      </c>
      <c r="B21" s="4" t="s">
        <v>87</v>
      </c>
      <c r="C21" s="5" t="s">
        <v>88</v>
      </c>
      <c r="D21" s="4" t="s">
        <v>89</v>
      </c>
      <c r="E21" s="4" t="s">
        <v>90</v>
      </c>
      <c r="F21" s="6" t="n">
        <v>5</v>
      </c>
      <c r="G21" s="4" t="s">
        <v>91</v>
      </c>
      <c r="H21" s="5" t="s">
        <v>53</v>
      </c>
    </row>
    <row r="22" customFormat="false" ht="57.75" hidden="false" customHeight="true" outlineLevel="0" collapsed="false">
      <c r="A22" s="4" t="s">
        <v>54</v>
      </c>
      <c r="B22" s="4" t="s">
        <v>92</v>
      </c>
      <c r="C22" s="5" t="s">
        <v>93</v>
      </c>
      <c r="D22" s="4" t="s">
        <v>94</v>
      </c>
      <c r="E22" s="4" t="s">
        <v>95</v>
      </c>
      <c r="F22" s="6" t="n">
        <v>8</v>
      </c>
      <c r="G22" s="4" t="s">
        <v>96</v>
      </c>
      <c r="H22" s="5" t="s">
        <v>72</v>
      </c>
    </row>
    <row r="23" customFormat="false" ht="31.5" hidden="false" customHeight="true" outlineLevel="0" collapsed="false">
      <c r="A23" s="4" t="s">
        <v>10</v>
      </c>
      <c r="B23" s="4" t="s">
        <v>11</v>
      </c>
      <c r="C23" s="5" t="s">
        <v>97</v>
      </c>
      <c r="D23" s="4" t="s">
        <v>98</v>
      </c>
      <c r="E23" s="4" t="s">
        <v>99</v>
      </c>
      <c r="F23" s="6" t="n">
        <v>2</v>
      </c>
      <c r="G23" s="4" t="s">
        <v>100</v>
      </c>
      <c r="H23" s="5" t="s">
        <v>101</v>
      </c>
    </row>
    <row r="24" customFormat="false" ht="45" hidden="false" customHeight="true" outlineLevel="0" collapsed="false">
      <c r="A24" s="4" t="s">
        <v>10</v>
      </c>
      <c r="B24" s="4" t="s">
        <v>11</v>
      </c>
      <c r="C24" s="5" t="s">
        <v>102</v>
      </c>
      <c r="D24" s="4" t="s">
        <v>103</v>
      </c>
      <c r="E24" s="4" t="s">
        <v>104</v>
      </c>
      <c r="F24" s="6" t="n">
        <v>3</v>
      </c>
      <c r="G24" s="4" t="s">
        <v>105</v>
      </c>
      <c r="H24" s="5" t="s">
        <v>101</v>
      </c>
    </row>
    <row r="25" customFormat="false" ht="31.5" hidden="false" customHeight="true" outlineLevel="0" collapsed="false">
      <c r="A25" s="4" t="s">
        <v>10</v>
      </c>
      <c r="B25" s="4" t="s">
        <v>21</v>
      </c>
      <c r="C25" s="5" t="s">
        <v>106</v>
      </c>
      <c r="D25" s="4" t="s">
        <v>107</v>
      </c>
      <c r="E25" s="4" t="s">
        <v>108</v>
      </c>
      <c r="F25" s="6" t="n">
        <v>3</v>
      </c>
      <c r="G25" s="4" t="s">
        <v>109</v>
      </c>
      <c r="H25" s="5" t="s">
        <v>101</v>
      </c>
    </row>
    <row r="26" customFormat="false" ht="31.5" hidden="false" customHeight="true" outlineLevel="0" collapsed="false">
      <c r="A26" s="4" t="s">
        <v>10</v>
      </c>
      <c r="B26" s="4" t="s">
        <v>21</v>
      </c>
      <c r="C26" s="5" t="s">
        <v>110</v>
      </c>
      <c r="D26" s="4" t="s">
        <v>111</v>
      </c>
      <c r="E26" s="4" t="s">
        <v>112</v>
      </c>
      <c r="F26" s="6" t="n">
        <v>2</v>
      </c>
      <c r="G26" s="4" t="s">
        <v>113</v>
      </c>
      <c r="H26" s="5" t="s">
        <v>101</v>
      </c>
    </row>
    <row r="27" customFormat="false" ht="31.5" hidden="false" customHeight="true" outlineLevel="0" collapsed="false">
      <c r="A27" s="4" t="s">
        <v>81</v>
      </c>
      <c r="B27" s="4" t="s">
        <v>82</v>
      </c>
      <c r="C27" s="5" t="s">
        <v>114</v>
      </c>
      <c r="D27" s="4" t="s">
        <v>115</v>
      </c>
      <c r="E27" s="4" t="s">
        <v>116</v>
      </c>
      <c r="F27" s="6" t="n">
        <v>2</v>
      </c>
      <c r="G27" s="4" t="s">
        <v>117</v>
      </c>
      <c r="H27" s="5" t="s">
        <v>101</v>
      </c>
    </row>
    <row r="28" customFormat="false" ht="45" hidden="false" customHeight="true" outlineLevel="0" collapsed="false">
      <c r="A28" s="4" t="s">
        <v>81</v>
      </c>
      <c r="B28" s="4" t="s">
        <v>82</v>
      </c>
      <c r="C28" s="5" t="s">
        <v>118</v>
      </c>
      <c r="D28" s="4" t="s">
        <v>119</v>
      </c>
      <c r="E28" s="4" t="s">
        <v>120</v>
      </c>
      <c r="F28" s="6" t="n">
        <v>3</v>
      </c>
      <c r="G28" s="4" t="s">
        <v>121</v>
      </c>
      <c r="H28" s="5" t="s">
        <v>101</v>
      </c>
    </row>
    <row r="29" customFormat="false" ht="31.5" hidden="false" customHeight="true" outlineLevel="0" collapsed="false">
      <c r="A29" s="4" t="s">
        <v>54</v>
      </c>
      <c r="B29" s="4" t="s">
        <v>55</v>
      </c>
      <c r="C29" s="5" t="s">
        <v>122</v>
      </c>
      <c r="D29" s="4" t="s">
        <v>123</v>
      </c>
      <c r="E29" s="4" t="s">
        <v>124</v>
      </c>
      <c r="F29" s="6" t="n">
        <v>2</v>
      </c>
      <c r="G29" s="4" t="s">
        <v>125</v>
      </c>
      <c r="H29" s="5" t="s">
        <v>72</v>
      </c>
    </row>
    <row r="30" customFormat="false" ht="45" hidden="false" customHeight="true" outlineLevel="0" collapsed="false">
      <c r="A30" s="4" t="s">
        <v>10</v>
      </c>
      <c r="B30" s="4" t="s">
        <v>21</v>
      </c>
      <c r="C30" s="5" t="s">
        <v>126</v>
      </c>
      <c r="D30" s="4" t="s">
        <v>127</v>
      </c>
      <c r="E30" s="4" t="s">
        <v>128</v>
      </c>
      <c r="F30" s="6" t="n">
        <v>3</v>
      </c>
      <c r="G30" s="4" t="s">
        <v>129</v>
      </c>
      <c r="H30" s="5" t="s">
        <v>53</v>
      </c>
    </row>
    <row r="31" customFormat="false" ht="31.5" hidden="false" customHeight="true" outlineLevel="0" collapsed="false">
      <c r="A31" s="4" t="s">
        <v>10</v>
      </c>
      <c r="B31" s="4" t="s">
        <v>21</v>
      </c>
      <c r="C31" s="5" t="s">
        <v>130</v>
      </c>
      <c r="D31" s="4" t="s">
        <v>131</v>
      </c>
      <c r="E31" s="4" t="s">
        <v>132</v>
      </c>
      <c r="F31" s="6" t="n">
        <v>2</v>
      </c>
      <c r="G31" s="4" t="s">
        <v>133</v>
      </c>
      <c r="H31" s="5" t="s">
        <v>34</v>
      </c>
    </row>
    <row r="32" customFormat="false" ht="57.75" hidden="false" customHeight="true" outlineLevel="0" collapsed="false">
      <c r="A32" s="4" t="s">
        <v>10</v>
      </c>
      <c r="B32" s="4" t="s">
        <v>39</v>
      </c>
      <c r="C32" s="5" t="s">
        <v>134</v>
      </c>
      <c r="D32" s="4" t="s">
        <v>135</v>
      </c>
      <c r="E32" s="4" t="s">
        <v>136</v>
      </c>
      <c r="F32" s="6" t="n">
        <v>8</v>
      </c>
      <c r="G32" s="4" t="s">
        <v>137</v>
      </c>
      <c r="H32" s="5" t="s">
        <v>48</v>
      </c>
    </row>
    <row r="33" customFormat="false" ht="31.5" hidden="false" customHeight="true" outlineLevel="0" collapsed="false">
      <c r="A33" s="4" t="s">
        <v>10</v>
      </c>
      <c r="B33" s="4" t="s">
        <v>39</v>
      </c>
      <c r="C33" s="5" t="s">
        <v>138</v>
      </c>
      <c r="D33" s="4" t="s">
        <v>139</v>
      </c>
      <c r="E33" s="4" t="s">
        <v>140</v>
      </c>
      <c r="F33" s="6" t="n">
        <v>2</v>
      </c>
      <c r="G33" s="4" t="s">
        <v>141</v>
      </c>
      <c r="H33" s="5" t="s">
        <v>48</v>
      </c>
    </row>
    <row r="34" customFormat="false" ht="15" hidden="false" customHeight="false" outlineLevel="0" collapsed="false">
      <c r="A34" s="7" t="s">
        <v>142</v>
      </c>
      <c r="B34" s="7"/>
      <c r="C34" s="7"/>
      <c r="D34" s="7"/>
      <c r="E34" s="7"/>
      <c r="F34" s="8" t="n">
        <f aca="false">SUM(F5:F33)</f>
        <v>111</v>
      </c>
      <c r="G34" s="8"/>
      <c r="H34" s="8"/>
    </row>
  </sheetData>
  <autoFilter ref="A4:H33"/>
  <mergeCells count="1">
    <mergeCell ref="A34:E34"/>
  </mergeCells>
  <dataValidations count="2">
    <dataValidation allowBlank="true" error="Use a escala 1, 2, 3, 5, 8 ou 13." errorStyle="warning" operator="between" showDropDown="false" showErrorMessage="true" showInputMessage="false" sqref="F5:F33" type="list">
      <formula1>"1,2,3,5,8,13"</formula1>
      <formula2>0</formula2>
    </dataValidation>
    <dataValidation allowBlank="true" errorStyle="stop" operator="between" showDropDown="false" showErrorMessage="false" showInputMessage="false" sqref="H5:H33" type="list">
      <formula1>"Sprint 1,Sprint 2,Sprint 3,Sprint 4,Sprint 5,Sprint 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6" min="4" style="0" width="9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9" t="s">
        <v>144</v>
      </c>
      <c r="B2" s="9"/>
      <c r="C2" s="10" t="n">
        <v>20</v>
      </c>
    </row>
    <row r="4" customFormat="false" ht="25.5" hidden="false" customHeight="true" outlineLevel="0" collapsed="false">
      <c r="A4" s="3" t="s">
        <v>9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</row>
    <row r="5" customFormat="false" ht="24" hidden="false" customHeight="true" outlineLevel="0" collapsed="false">
      <c r="A5" s="5" t="s">
        <v>16</v>
      </c>
      <c r="B5" s="4" t="s">
        <v>150</v>
      </c>
      <c r="C5" s="4" t="s">
        <v>151</v>
      </c>
      <c r="D5" s="5" t="n">
        <f aca="false">SUMIF('Histórias de usuário'!$H$5:$H$33,A5,'Histórias de usuário'!$F$5:$F$33)</f>
        <v>19</v>
      </c>
      <c r="E5" s="5" t="n">
        <f aca="false">$C$2</f>
        <v>20</v>
      </c>
      <c r="F5" s="5" t="n">
        <f aca="false">E5-D5</f>
        <v>1</v>
      </c>
    </row>
    <row r="6" customFormat="false" ht="24" hidden="false" customHeight="true" outlineLevel="0" collapsed="false">
      <c r="A6" s="5" t="s">
        <v>34</v>
      </c>
      <c r="B6" s="4" t="s">
        <v>152</v>
      </c>
      <c r="C6" s="4" t="s">
        <v>153</v>
      </c>
      <c r="D6" s="5" t="n">
        <f aca="false">SUMIF('Histórias de usuário'!$H$5:$H$33,A6,'Histórias de usuário'!$F$5:$F$33)</f>
        <v>18</v>
      </c>
      <c r="E6" s="5" t="n">
        <f aca="false">$C$2</f>
        <v>20</v>
      </c>
      <c r="F6" s="5" t="n">
        <f aca="false">E6-D6</f>
        <v>2</v>
      </c>
    </row>
    <row r="7" customFormat="false" ht="24" hidden="false" customHeight="true" outlineLevel="0" collapsed="false">
      <c r="A7" s="5" t="s">
        <v>72</v>
      </c>
      <c r="B7" s="4" t="s">
        <v>154</v>
      </c>
      <c r="C7" s="4" t="s">
        <v>155</v>
      </c>
      <c r="D7" s="5" t="n">
        <f aca="false">SUMIF('Histórias de usuário'!$H$5:$H$33,A7,'Histórias de usuário'!$F$5:$F$33)</f>
        <v>20</v>
      </c>
      <c r="E7" s="5" t="n">
        <f aca="false">$C$2</f>
        <v>20</v>
      </c>
      <c r="F7" s="5" t="n">
        <f aca="false">E7-D7</f>
        <v>0</v>
      </c>
    </row>
    <row r="8" customFormat="false" ht="24" hidden="false" customHeight="true" outlineLevel="0" collapsed="false">
      <c r="A8" s="5" t="s">
        <v>48</v>
      </c>
      <c r="B8" s="4" t="s">
        <v>156</v>
      </c>
      <c r="C8" s="4" t="s">
        <v>157</v>
      </c>
      <c r="D8" s="5" t="n">
        <f aca="false">SUMIF('Histórias de usuário'!$H$5:$H$33,A8,'Histórias de usuário'!$F$5:$F$33)</f>
        <v>20</v>
      </c>
      <c r="E8" s="5" t="n">
        <f aca="false">$C$2</f>
        <v>20</v>
      </c>
      <c r="F8" s="5" t="n">
        <f aca="false">E8-D8</f>
        <v>0</v>
      </c>
    </row>
    <row r="9" customFormat="false" ht="24" hidden="false" customHeight="true" outlineLevel="0" collapsed="false">
      <c r="A9" s="5" t="s">
        <v>53</v>
      </c>
      <c r="B9" s="4" t="s">
        <v>158</v>
      </c>
      <c r="C9" s="4" t="s">
        <v>159</v>
      </c>
      <c r="D9" s="5" t="n">
        <f aca="false">SUMIF('Histórias de usuário'!$H$5:$H$33,A9,'Histórias de usuário'!$F$5:$F$33)</f>
        <v>19</v>
      </c>
      <c r="E9" s="5" t="n">
        <f aca="false">$C$2</f>
        <v>20</v>
      </c>
      <c r="F9" s="5" t="n">
        <f aca="false">E9-D9</f>
        <v>1</v>
      </c>
    </row>
    <row r="10" customFormat="false" ht="24" hidden="false" customHeight="true" outlineLevel="0" collapsed="false">
      <c r="A10" s="5" t="s">
        <v>101</v>
      </c>
      <c r="B10" s="4" t="s">
        <v>160</v>
      </c>
      <c r="C10" s="4" t="s">
        <v>161</v>
      </c>
      <c r="D10" s="5" t="n">
        <f aca="false">SUMIF('Histórias de usuário'!$H$5:$H$33,A10,'Histórias de usuário'!$F$5:$F$33)</f>
        <v>15</v>
      </c>
      <c r="E10" s="5" t="n">
        <f aca="false">$C$2</f>
        <v>20</v>
      </c>
      <c r="F10" s="5" t="n">
        <f aca="false">E10-D10</f>
        <v>5</v>
      </c>
    </row>
    <row r="11" customFormat="false" ht="15" hidden="false" customHeight="false" outlineLevel="0" collapsed="false">
      <c r="A11" s="7" t="s">
        <v>142</v>
      </c>
      <c r="B11" s="7"/>
      <c r="C11" s="7"/>
      <c r="D11" s="8" t="n">
        <f aca="false">SUM(D5:D10)</f>
        <v>111</v>
      </c>
      <c r="E11" s="8"/>
      <c r="F11" s="8"/>
    </row>
  </sheetData>
  <mergeCells count="2">
    <mergeCell ref="A2:B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7"/>
    <col collapsed="false" customWidth="true" hidden="false" outlineLevel="0" max="5" min="4" style="0" width="52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5" hidden="false" customHeight="true" outlineLevel="0" collapsed="false">
      <c r="A5" s="4" t="s">
        <v>164</v>
      </c>
      <c r="B5" s="4" t="s">
        <v>165</v>
      </c>
      <c r="C5" s="5" t="s">
        <v>12</v>
      </c>
      <c r="D5" s="4" t="s">
        <v>166</v>
      </c>
      <c r="E5" s="4" t="s">
        <v>167</v>
      </c>
      <c r="F5" s="6" t="n">
        <v>5</v>
      </c>
      <c r="G5" s="4" t="s">
        <v>168</v>
      </c>
    </row>
    <row r="6" customFormat="false" ht="31.5" hidden="false" customHeight="true" outlineLevel="0" collapsed="false">
      <c r="A6" s="4" t="s">
        <v>164</v>
      </c>
      <c r="B6" s="4" t="s">
        <v>165</v>
      </c>
      <c r="C6" s="5" t="s">
        <v>17</v>
      </c>
      <c r="D6" s="4" t="s">
        <v>169</v>
      </c>
      <c r="E6" s="4" t="s">
        <v>170</v>
      </c>
      <c r="F6" s="6" t="n">
        <v>2</v>
      </c>
      <c r="G6" s="4" t="s">
        <v>171</v>
      </c>
    </row>
    <row r="7" customFormat="false" ht="31.5" hidden="false" customHeight="true" outlineLevel="0" collapsed="false">
      <c r="A7" s="4" t="s">
        <v>164</v>
      </c>
      <c r="B7" s="4" t="s">
        <v>165</v>
      </c>
      <c r="C7" s="5" t="s">
        <v>22</v>
      </c>
      <c r="D7" s="4" t="s">
        <v>172</v>
      </c>
      <c r="E7" s="4" t="s">
        <v>173</v>
      </c>
      <c r="F7" s="6" t="n">
        <v>3</v>
      </c>
      <c r="G7" s="4" t="s">
        <v>174</v>
      </c>
    </row>
    <row r="8" customFormat="false" ht="45" hidden="false" customHeight="true" outlineLevel="0" collapsed="false">
      <c r="A8" s="4" t="s">
        <v>164</v>
      </c>
      <c r="B8" s="4" t="s">
        <v>165</v>
      </c>
      <c r="C8" s="5" t="s">
        <v>26</v>
      </c>
      <c r="D8" s="4" t="s">
        <v>175</v>
      </c>
      <c r="E8" s="4" t="s">
        <v>176</v>
      </c>
      <c r="F8" s="6" t="n">
        <v>3</v>
      </c>
      <c r="G8" s="4" t="s">
        <v>177</v>
      </c>
    </row>
    <row r="9" customFormat="false" ht="31.5" hidden="false" customHeight="true" outlineLevel="0" collapsed="false">
      <c r="A9" s="4" t="s">
        <v>164</v>
      </c>
      <c r="B9" s="4" t="s">
        <v>165</v>
      </c>
      <c r="C9" s="5" t="s">
        <v>30</v>
      </c>
      <c r="D9" s="4" t="s">
        <v>178</v>
      </c>
      <c r="E9" s="4" t="s">
        <v>179</v>
      </c>
      <c r="F9" s="6" t="n">
        <v>3</v>
      </c>
      <c r="G9" s="4" t="s">
        <v>180</v>
      </c>
    </row>
    <row r="10" customFormat="false" ht="31.5" hidden="false" customHeight="true" outlineLevel="0" collapsed="false">
      <c r="A10" s="4" t="s">
        <v>164</v>
      </c>
      <c r="B10" s="4" t="s">
        <v>181</v>
      </c>
      <c r="C10" s="5" t="s">
        <v>35</v>
      </c>
      <c r="D10" s="4" t="s">
        <v>182</v>
      </c>
      <c r="E10" s="4" t="s">
        <v>183</v>
      </c>
      <c r="F10" s="6" t="n">
        <v>5</v>
      </c>
      <c r="G10" s="4" t="s">
        <v>184</v>
      </c>
    </row>
    <row r="11" customFormat="false" ht="45" hidden="false" customHeight="true" outlineLevel="0" collapsed="false">
      <c r="A11" s="4" t="s">
        <v>164</v>
      </c>
      <c r="B11" s="4" t="s">
        <v>181</v>
      </c>
      <c r="C11" s="5" t="s">
        <v>40</v>
      </c>
      <c r="D11" s="4" t="s">
        <v>185</v>
      </c>
      <c r="E11" s="4" t="s">
        <v>186</v>
      </c>
      <c r="F11" s="6" t="n">
        <v>8</v>
      </c>
      <c r="G11" s="4" t="s">
        <v>187</v>
      </c>
    </row>
    <row r="12" customFormat="false" ht="31.5" hidden="false" customHeight="true" outlineLevel="0" collapsed="false">
      <c r="A12" s="4" t="s">
        <v>164</v>
      </c>
      <c r="B12" s="4" t="s">
        <v>181</v>
      </c>
      <c r="C12" s="5" t="s">
        <v>44</v>
      </c>
      <c r="D12" s="4" t="s">
        <v>188</v>
      </c>
      <c r="E12" s="4" t="s">
        <v>189</v>
      </c>
      <c r="F12" s="6" t="n">
        <v>3</v>
      </c>
      <c r="G12" s="4" t="s">
        <v>190</v>
      </c>
    </row>
    <row r="13" customFormat="false" ht="45" hidden="false" customHeight="true" outlineLevel="0" collapsed="false">
      <c r="A13" s="4" t="s">
        <v>164</v>
      </c>
      <c r="B13" s="4" t="s">
        <v>191</v>
      </c>
      <c r="C13" s="5" t="s">
        <v>49</v>
      </c>
      <c r="D13" s="4" t="s">
        <v>192</v>
      </c>
      <c r="E13" s="4" t="s">
        <v>193</v>
      </c>
      <c r="F13" s="6" t="n">
        <v>8</v>
      </c>
      <c r="G13" s="4" t="s">
        <v>194</v>
      </c>
    </row>
    <row r="14" customFormat="false" ht="57.75" hidden="false" customHeight="true" outlineLevel="0" collapsed="false">
      <c r="A14" s="4" t="s">
        <v>164</v>
      </c>
      <c r="B14" s="4" t="s">
        <v>191</v>
      </c>
      <c r="C14" s="5" t="s">
        <v>56</v>
      </c>
      <c r="D14" s="4" t="s">
        <v>195</v>
      </c>
      <c r="E14" s="4" t="s">
        <v>196</v>
      </c>
      <c r="F14" s="6" t="n">
        <v>13</v>
      </c>
      <c r="G14" s="4" t="s">
        <v>197</v>
      </c>
    </row>
    <row r="15" customFormat="false" ht="45" hidden="false" customHeight="true" outlineLevel="0" collapsed="false">
      <c r="A15" s="4" t="s">
        <v>164</v>
      </c>
      <c r="B15" s="4" t="s">
        <v>198</v>
      </c>
      <c r="C15" s="5" t="s">
        <v>60</v>
      </c>
      <c r="D15" s="4" t="s">
        <v>199</v>
      </c>
      <c r="E15" s="4" t="s">
        <v>200</v>
      </c>
      <c r="F15" s="6" t="n">
        <v>13</v>
      </c>
      <c r="G15" s="4" t="s">
        <v>201</v>
      </c>
    </row>
    <row r="16" customFormat="false" ht="15" hidden="false" customHeight="false" outlineLevel="0" collapsed="false">
      <c r="A16" s="7" t="s">
        <v>142</v>
      </c>
      <c r="B16" s="7"/>
      <c r="C16" s="7"/>
      <c r="D16" s="7"/>
      <c r="E16" s="7"/>
      <c r="F16" s="8" t="n">
        <f aca="false">SUM(F5:F15)</f>
        <v>66</v>
      </c>
      <c r="G16" s="8"/>
    </row>
  </sheetData>
  <mergeCells count="1">
    <mergeCell ref="A16:E16"/>
  </mergeCells>
  <dataValidations count="1">
    <dataValidation allowBlank="true" error="Use a escala 1, 2, 3, 5, 8 ou 13." errorStyle="warning" operator="between" showDropDown="false" showErrorMessage="true" showInputMessage="false" sqref="F5:F15" type="list">
      <formula1>"1,2,3,5,8,13"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2026-10-29T00:14:20Z</dcterms:created>
  <dc:creator>Eduardo Lourenço da Silva</dc:creator>
  <dc:description/>
  <dc:language>en-US</dc:language>
  <cp:lastModifiedBy>Eduardo Lourenço da Silva</cp:lastModifiedBy>
  <dcterms:modified xsi:type="dcterms:W3CDTF">2026-10-29T00:14:20Z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